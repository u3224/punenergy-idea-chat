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esktop\"/>
    </mc:Choice>
  </mc:AlternateContent>
  <xr:revisionPtr revIDLastSave="0" documentId="13_ncr:1_{B3837CB6-5C93-4FBA-84D1-ECFEE0EF9A42}" xr6:coauthVersionLast="47" xr6:coauthVersionMax="47" xr10:uidLastSave="{00000000-0000-0000-0000-000000000000}"/>
  <bookViews>
    <workbookView xWindow="-120" yWindow="-120" windowWidth="20730" windowHeight="11760" xr2:uid="{00000000-000D-0000-FFFF-FFFF00000000}"/>
  </bookViews>
  <sheets>
    <sheet name="Sintesi" sheetId="1" r:id="rId1"/>
    <sheet name="Input" sheetId="2" r:id="rId2"/>
    <sheet name="Grafici" sheetId="3" r:id="rId3"/>
    <sheet name="Guida" sheetId="4" r:id="rId4"/>
    <sheet name="Calcoli" sheetId="5" r:id="rId5"/>
    <sheet name="DatiGrafici" sheetId="6" r:id="rId6"/>
    <sheet name="Lingue" sheetId="7" r:id="rId7"/>
  </sheets>
  <calcPr calcId="191029"/>
</workbook>
</file>

<file path=xl/calcChain.xml><?xml version="1.0" encoding="utf-8"?>
<calcChain xmlns="http://schemas.openxmlformats.org/spreadsheetml/2006/main">
  <c r="H4" i="6" l="1"/>
  <c r="G3" i="6"/>
  <c r="E3" i="6"/>
  <c r="B3" i="6"/>
  <c r="G2" i="6"/>
  <c r="A25" i="3" s="1"/>
  <c r="D2" i="6"/>
  <c r="A2" i="6"/>
  <c r="A7" i="3" s="1"/>
  <c r="G1" i="6"/>
  <c r="A24" i="3" s="1"/>
  <c r="D1" i="6"/>
  <c r="A1" i="6"/>
  <c r="B28" i="5"/>
  <c r="B10" i="5"/>
  <c r="B11" i="5" s="1"/>
  <c r="B12" i="5" s="1"/>
  <c r="B13" i="5" s="1"/>
  <c r="B14" i="5" s="1"/>
  <c r="B7" i="5"/>
  <c r="B19" i="5" s="1"/>
  <c r="G5" i="5"/>
  <c r="G17" i="1" s="1"/>
  <c r="B5" i="5"/>
  <c r="B6" i="5" s="1"/>
  <c r="A39" i="4"/>
  <c r="A38" i="4"/>
  <c r="A34" i="4"/>
  <c r="A33" i="4"/>
  <c r="C31" i="4"/>
  <c r="B31" i="4"/>
  <c r="C30" i="4"/>
  <c r="B30" i="4"/>
  <c r="C29" i="4"/>
  <c r="B29" i="4"/>
  <c r="C28" i="4"/>
  <c r="B28" i="4"/>
  <c r="C27" i="4"/>
  <c r="B27" i="4"/>
  <c r="C26" i="4"/>
  <c r="B26" i="4"/>
  <c r="C25" i="4"/>
  <c r="B25" i="4"/>
  <c r="C24" i="4"/>
  <c r="B24" i="4"/>
  <c r="C23" i="4"/>
  <c r="B23" i="4"/>
  <c r="A23" i="4"/>
  <c r="A22" i="4"/>
  <c r="D20" i="4"/>
  <c r="C20" i="4"/>
  <c r="B20" i="4"/>
  <c r="D19" i="4"/>
  <c r="C19" i="4"/>
  <c r="B19" i="4"/>
  <c r="D18" i="4"/>
  <c r="C18" i="4"/>
  <c r="B18" i="4"/>
  <c r="D17" i="4"/>
  <c r="C17" i="4"/>
  <c r="B17" i="4"/>
  <c r="D16" i="4"/>
  <c r="C16" i="4"/>
  <c r="B16" i="4"/>
  <c r="D15" i="4"/>
  <c r="C15" i="4"/>
  <c r="B15" i="4"/>
  <c r="D14" i="4"/>
  <c r="C14" i="4"/>
  <c r="B14" i="4"/>
  <c r="D13" i="4"/>
  <c r="C13" i="4"/>
  <c r="B13" i="4"/>
  <c r="D12" i="4"/>
  <c r="C12" i="4"/>
  <c r="B12" i="4"/>
  <c r="D11" i="4"/>
  <c r="C11" i="4"/>
  <c r="B11" i="4"/>
  <c r="D10" i="4"/>
  <c r="C10" i="4"/>
  <c r="B10" i="4"/>
  <c r="D9" i="4"/>
  <c r="C9" i="4"/>
  <c r="B9" i="4"/>
  <c r="D8" i="4"/>
  <c r="C8" i="4"/>
  <c r="B8" i="4"/>
  <c r="D7" i="4"/>
  <c r="C7" i="4"/>
  <c r="B7" i="4"/>
  <c r="D6" i="4"/>
  <c r="C6" i="4"/>
  <c r="B6" i="4"/>
  <c r="D5" i="4"/>
  <c r="C5" i="4"/>
  <c r="B5" i="4"/>
  <c r="A5" i="4"/>
  <c r="A4" i="4"/>
  <c r="A2" i="4"/>
  <c r="A1" i="4"/>
  <c r="A36" i="3"/>
  <c r="A26" i="3"/>
  <c r="A22" i="3"/>
  <c r="I7" i="3"/>
  <c r="I6" i="3"/>
  <c r="A6" i="3"/>
  <c r="I4" i="3"/>
  <c r="A4" i="3"/>
  <c r="A2" i="3"/>
  <c r="A1" i="3"/>
  <c r="A28" i="2"/>
  <c r="A27" i="2"/>
  <c r="A19" i="2"/>
  <c r="A14" i="2"/>
  <c r="A4" i="2"/>
  <c r="C3" i="2"/>
  <c r="A2" i="2"/>
  <c r="A1" i="2"/>
  <c r="E35" i="1"/>
  <c r="A35" i="1"/>
  <c r="E34" i="1"/>
  <c r="A34" i="1"/>
  <c r="E31" i="1"/>
  <c r="A31" i="1"/>
  <c r="E30" i="1"/>
  <c r="A30" i="1"/>
  <c r="A29" i="1"/>
  <c r="A24" i="1"/>
  <c r="B19" i="1"/>
  <c r="B18" i="1"/>
  <c r="B17" i="1"/>
  <c r="G5" i="1"/>
  <c r="A5" i="1"/>
  <c r="A2" i="1"/>
  <c r="A1" i="1"/>
  <c r="B9" i="5" l="1"/>
  <c r="G6" i="5"/>
  <c r="G18" i="1" s="1"/>
  <c r="B8" i="5"/>
  <c r="B15" i="5" s="1"/>
  <c r="B20" i="5"/>
  <c r="B21" i="5" s="1"/>
  <c r="B27" i="5"/>
  <c r="B16" i="5" l="1"/>
  <c r="D5" i="1" s="1"/>
  <c r="B29" i="5"/>
  <c r="B30" i="5" s="1"/>
  <c r="B31" i="5" s="1"/>
  <c r="B22" i="5"/>
  <c r="B1" i="6"/>
  <c r="B6" i="3" s="1"/>
  <c r="B23" i="5" l="1"/>
  <c r="A9" i="1"/>
  <c r="B33" i="5"/>
  <c r="E1" i="6"/>
  <c r="J6" i="3" s="1"/>
  <c r="B2" i="6"/>
  <c r="B7" i="3" s="1"/>
  <c r="C7" i="3" s="1"/>
  <c r="G7" i="5"/>
  <c r="G19" i="1" s="1"/>
  <c r="G8" i="5"/>
  <c r="G20" i="1" s="1"/>
  <c r="B32" i="5"/>
  <c r="B34" i="5" s="1"/>
  <c r="B40" i="5" s="1"/>
  <c r="B39" i="5" l="1"/>
  <c r="B35" i="5"/>
  <c r="G13" i="1"/>
  <c r="H3" i="6"/>
  <c r="B26" i="3" s="1"/>
  <c r="H1" i="6"/>
  <c r="B24" i="3" s="1"/>
  <c r="A13" i="1"/>
  <c r="E2" i="6"/>
  <c r="J7" i="3" s="1"/>
  <c r="K7" i="3" s="1"/>
  <c r="C6" i="3"/>
  <c r="D13" i="1" l="1"/>
  <c r="H2" i="6"/>
  <c r="B25" i="3" s="1"/>
  <c r="C25" i="3" s="1"/>
  <c r="B41" i="5"/>
  <c r="B43" i="5" s="1"/>
  <c r="K6" i="3"/>
  <c r="D9" i="1"/>
  <c r="B42" i="5"/>
  <c r="C24" i="3" l="1"/>
  <c r="C26" i="3"/>
  <c r="B45" i="5"/>
  <c r="B22" i="1" s="1"/>
  <c r="B44" i="5"/>
  <c r="B21" i="1" s="1"/>
  <c r="G9" i="1"/>
  <c r="B20" i="1"/>
  <c r="B4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7" authorId="0" shapeId="0" xr:uid="{00000000-0006-0000-0100-000001000000}">
      <text>
        <r>
          <rPr>
            <sz val="11"/>
            <color theme="1"/>
            <rFont val="Calibri"/>
            <family val="2"/>
            <scheme val="minor"/>
          </rPr>
          <t>Valori ammessi: 25 o 40 kWh per ciascun sistema iDeA.</t>
        </r>
      </text>
    </comment>
    <comment ref="B12" authorId="0" shapeId="0" xr:uid="{00000000-0006-0000-0100-000002000000}">
      <text>
        <r>
          <rPr>
            <sz val="11"/>
            <color theme="1"/>
            <rFont val="Calibri"/>
            <family val="2"/>
            <scheme val="minor"/>
          </rPr>
          <t>IT: aggiorna l'efficienza round-trip se la batteria o l'elettronica hanno prestazioni diverse.
EN: update round-trip efficiency if the battery or power electronics have different performance.
UA: оновіть round-trip ККД, якщо батарея або силова електроніка мають інші характеристики.</t>
        </r>
      </text>
    </comment>
    <comment ref="B15" authorId="0" shapeId="0" xr:uid="{00000000-0006-0000-0100-000003000000}">
      <text>
        <r>
          <rPr>
            <sz val="11"/>
            <color theme="1"/>
            <rFont val="Calibri"/>
            <family val="2"/>
            <scheme val="minor"/>
          </rPr>
          <t>IT: parametro principale da adattare quando il modello viene usato in siti con irraggiamento/producibilità diversi.
EN: main parameter to adapt when the model is used on sites with different irradiation/specific yield.
UA: основний параметр для адаптації моделі до майданчиків з іншим рівнем інсоляції / питомим виробітком.</t>
        </r>
      </text>
    </comment>
    <comment ref="B16" authorId="0" shapeId="0" xr:uid="{00000000-0006-0000-0100-000004000000}">
      <text>
        <r>
          <rPr>
            <sz val="11"/>
            <color theme="1"/>
            <rFont val="Calibri"/>
            <family val="2"/>
            <scheme val="minor"/>
          </rPr>
          <t>IT: assunzione corrente = 5%. Cambiala solo con dati di campo o casi validati.
EN: current assumption = 5%. Change it only with field data or validated case studies.
UA: поточне припущення = 5%. Змінюйте лише за наявності польових даних або підтверджених кейсів.</t>
        </r>
      </text>
    </comment>
    <comment ref="B17" authorId="0" shapeId="0" xr:uid="{00000000-0006-0000-0100-000005000000}">
      <text>
        <r>
          <rPr>
            <sz val="11"/>
            <color theme="1"/>
            <rFont val="Calibri"/>
            <family val="2"/>
            <scheme val="minor"/>
          </rPr>
          <t>IT: prezzo usato per valorizzare il solo extra rendimento MPPT.
EN: price used to monetize MPPT extra yield only.
UA: ціна, що використовується для монетизації лише додаткового приросту від MPPT.</t>
        </r>
      </text>
    </comment>
    <comment ref="B20" authorId="0" shapeId="0" xr:uid="{00000000-0006-0000-0100-000006000000}">
      <text>
        <r>
          <rPr>
            <sz val="11"/>
            <color theme="1"/>
            <rFont val="Calibri"/>
            <family val="2"/>
            <scheme val="minor"/>
          </rPr>
          <t>IT: adatta questo dato al numero reale di ore a prezzo basso/nullo del mercato locale.
EN: adapt this to the real number of low/zero price hours in the local market.
UA: адаптуйте це значення до реальної кількості годин низької/нульової ціни на місцевому ринку.</t>
        </r>
      </text>
    </comment>
    <comment ref="B21" authorId="0" shapeId="0" xr:uid="{00000000-0006-0000-0100-000007000000}">
      <text>
        <r>
          <rPr>
            <sz val="11"/>
            <color theme="1"/>
            <rFont val="Calibri"/>
            <family val="2"/>
            <scheme val="minor"/>
          </rPr>
          <t>IT: rappresenta quanta potenza FV media è disponibile nelle ore basse.
EN: represents the average PV power available during low-price hours.
UA: показує середню доступну PV-потужність у години низької ціни.</t>
        </r>
      </text>
    </comment>
    <comment ref="B22" authorId="0" shapeId="0" xr:uid="{00000000-0006-0000-0100-000008000000}">
      <text>
        <r>
          <rPr>
            <sz val="11"/>
            <color theme="1"/>
            <rFont val="Calibri"/>
            <family val="2"/>
            <scheme val="minor"/>
          </rPr>
          <t>IT: inserisci il prezzo locale dell'energia nelle ore di carica; in alcuni mercati può essere anche negativo.
EN: enter the local energy price during charging hours; in some markets it can even be negative.
UA: введіть локальну ціну енергії в години заряджання; на деяких ринках вона може бути навіть від’ємною.</t>
        </r>
      </text>
    </comment>
    <comment ref="B23" authorId="0" shapeId="0" xr:uid="{00000000-0006-0000-0100-000009000000}">
      <text>
        <r>
          <rPr>
            <sz val="11"/>
            <color theme="1"/>
            <rFont val="Calibri"/>
            <family val="2"/>
            <scheme val="minor"/>
          </rPr>
          <t>IT: inserisci il prezzo locale delle ore di scarica/sera: è il principale driver del valore arbitraggio.
EN: enter the local evening/discharge price: it is the main driver of arbitrage value.
UA: введіть локальну вечірню ціну / ціну розряду: це головний чинник цінності арбітражу.</t>
        </r>
      </text>
    </comment>
    <comment ref="B24" authorId="0" shapeId="0" xr:uid="{00000000-0006-0000-0100-00000A000000}">
      <text>
        <r>
          <rPr>
            <sz val="11"/>
            <color theme="1"/>
            <rFont val="Calibri"/>
            <family val="2"/>
            <scheme val="minor"/>
          </rPr>
          <t>IT: usa questo dato per rendere il business case più prudente.
EN: use this to make the business case more conservative.
UA: використовуйте це значення, щоб зробити бізнес-кейс більш консервативним.</t>
        </r>
      </text>
    </comment>
    <comment ref="B25" authorId="0" shapeId="0" xr:uid="{00000000-0006-0000-0100-00000B000000}">
      <text>
        <r>
          <rPr>
            <sz val="11"/>
            <color theme="1"/>
            <rFont val="Calibri"/>
            <family val="2"/>
            <scheme val="minor"/>
          </rPr>
          <t>IT: energia che senza iDea verrebbe persa per congestioni di rete, clipping o limitazioni.
EN: energy that without iDea would be lost because of grid congestion, clipping or export limits.
UA: енергія, яка без iDea була б втрачена через мережеві перевантаження, кліпінг або обмеження віддачі в мережу.</t>
        </r>
      </text>
    </comment>
  </commentList>
</comments>
</file>

<file path=xl/sharedStrings.xml><?xml version="1.0" encoding="utf-8"?>
<sst xmlns="http://schemas.openxmlformats.org/spreadsheetml/2006/main" count="605" uniqueCount="532">
  <si>
    <t>Potenza FV totale [MWp]</t>
  </si>
  <si>
    <t>Quota FV coperta da iDeA</t>
  </si>
  <si>
    <t>Batteria totale [MWh]</t>
  </si>
  <si>
    <t>Recupero MPPT [MWh/anno]</t>
  </si>
  <si>
    <t>Storage reso [MWh/anno]</t>
  </si>
  <si>
    <t>Valore totale [€ / anno]</t>
  </si>
  <si>
    <t>Valore MPPT [€ / anno]</t>
  </si>
  <si>
    <t>Valore arbitraggio [€ / anno]</t>
  </si>
  <si>
    <t>Valore congest./clip [€ / anno]</t>
  </si>
  <si>
    <t>Indicatori di dettaglio</t>
  </si>
  <si>
    <t>Controlli rapidi</t>
  </si>
  <si>
    <t>Numero stringhe FV</t>
  </si>
  <si>
    <t>n</t>
  </si>
  <si>
    <t>Coerenza sistemi/stringhe</t>
  </si>
  <si>
    <t>Numero sistemi iDeA</t>
  </si>
  <si>
    <t>Quota stringhe non gestite</t>
  </si>
  <si>
    <t>Batteria per sistema iDeA</t>
  </si>
  <si>
    <t>kWh</t>
  </si>
  <si>
    <t>Fattibilità throughput batteria</t>
  </si>
  <si>
    <t>Incremento energia totale</t>
  </si>
  <si>
    <t>MWh/anno</t>
  </si>
  <si>
    <t>Messaggio batteria</t>
  </si>
  <si>
    <t>Incremento valore per sistema</t>
  </si>
  <si>
    <t>€ / sistema anno</t>
  </si>
  <si>
    <t>Incremento valore per stringa</t>
  </si>
  <si>
    <t>€ / stringa anno</t>
  </si>
  <si>
    <t>Lingua / Language / Мова</t>
  </si>
  <si>
    <t>Italiano</t>
  </si>
  <si>
    <t>Esempio base: 100 stringhe = 1.000 kWp</t>
  </si>
  <si>
    <t>1 sistema iDea per stringa gestita</t>
  </si>
  <si>
    <t>Valori ammessi: 25 o 40</t>
  </si>
  <si>
    <t>Potenza per stringa</t>
  </si>
  <si>
    <t>kWp</t>
  </si>
  <si>
    <t>Costante di modello</t>
  </si>
  <si>
    <t>Potenza gestita da ogni iDeA</t>
  </si>
  <si>
    <t>Quota batteria utilizzabile</t>
  </si>
  <si>
    <t>%</t>
  </si>
  <si>
    <t>Usata per calcolare l'energia utile per ciclo</t>
  </si>
  <si>
    <t>Cicli annui efficaci batteria</t>
  </si>
  <si>
    <t>n/anno</t>
  </si>
  <si>
    <t>Serve a stimare il throughput annuo disponibile</t>
  </si>
  <si>
    <t>Rendimento round-trip batteria</t>
  </si>
  <si>
    <t>Energia resa / energia caricata</t>
  </si>
  <si>
    <t>Producibilità specifica</t>
  </si>
  <si>
    <t>kWh/kWp/anno</t>
  </si>
  <si>
    <t>Input modificabile in funzione del sito</t>
  </si>
  <si>
    <t>Recupero MPPT realistico</t>
  </si>
  <si>
    <t>Assunzione fissata al 5% su richiesta utente</t>
  </si>
  <si>
    <t>Valore energia standard per MPPT</t>
  </si>
  <si>
    <t>€/MWh</t>
  </si>
  <si>
    <t>Prezzo medio usato per valorizzare l'energia extra MPPT</t>
  </si>
  <si>
    <t>Ore annue a prezzo basso o nullo</t>
  </si>
  <si>
    <t>h/anno</t>
  </si>
  <si>
    <t>Scenario base discusso: da validare per anno/zona</t>
  </si>
  <si>
    <t>Fattore di carico medio nelle ore basse</t>
  </si>
  <si>
    <t>% potenza iDeA</t>
  </si>
  <si>
    <t>Es.: 55% significa 0,55 MW medi se la potenza iDeA è 1 MW</t>
  </si>
  <si>
    <t>Prezzo energia nelle ore basse</t>
  </si>
  <si>
    <t>Costo-opportunità dell'energia caricata in batteria</t>
  </si>
  <si>
    <t>Prezzo energia in scarica/sera</t>
  </si>
  <si>
    <t>Prezzo di valorizzazione in uscita dalla batteria</t>
  </si>
  <si>
    <t>Costo degrado batteria</t>
  </si>
  <si>
    <t>€/MWh scaricato</t>
  </si>
  <si>
    <t>Lascia 0 se vuoi escludere il degrado</t>
  </si>
  <si>
    <t>Energia recuperabile da congestione/clipping</t>
  </si>
  <si>
    <t>Energia annua che sarebbe persa senza accumulo</t>
  </si>
  <si>
    <t>€ / anno</t>
  </si>
  <si>
    <t>B5</t>
  </si>
  <si>
    <t>B6</t>
  </si>
  <si>
    <t>B7</t>
  </si>
  <si>
    <t>B10</t>
  </si>
  <si>
    <t>B11</t>
  </si>
  <si>
    <t>B12</t>
  </si>
  <si>
    <t>B15</t>
  </si>
  <si>
    <t>B16</t>
  </si>
  <si>
    <t>B17</t>
  </si>
  <si>
    <t>B20</t>
  </si>
  <si>
    <t>B21</t>
  </si>
  <si>
    <t>B22</t>
  </si>
  <si>
    <t>B23</t>
  </si>
  <si>
    <t>B24</t>
  </si>
  <si>
    <t>B25</t>
  </si>
  <si>
    <t>Nota IT</t>
  </si>
  <si>
    <t>EN note</t>
  </si>
  <si>
    <t>Примітка UA</t>
  </si>
  <si>
    <t>Recupero congestioni = energia che l'impianto produrrebbe ma che non può immettere subito in rete per limiti di rete, clipping o ordini di riduzione. Il modello assume che questa energia possa essere caricata in batteria e valorizzata più tardi.</t>
  </si>
  <si>
    <t>Congestion recovery = energy the plant would produce but cannot inject immediately because of grid limits, clipping or curtailment orders. The model assumes this energy can be stored and monetized later.</t>
  </si>
  <si>
    <t>Відновлення енергії при перевантаженнях = енергія, яку станція могла б виробити, але не може одразу віддати в мережу через мережеві обмеження, кліпінг або команди на обмеження. Модель припускає, що цю енергію можна накопичити та монетизувати пізніше.</t>
  </si>
  <si>
    <t>Calcoli automatici</t>
  </si>
  <si>
    <t>Tutte le celle di questo foglio sono alimentate da formule. Modifica gli input nel foglio Input.</t>
  </si>
  <si>
    <t>A. Dimensionamento derivato</t>
  </si>
  <si>
    <t>Controlli e avvisi</t>
  </si>
  <si>
    <t>Stringhe coperte da iDeA</t>
  </si>
  <si>
    <t>Numero effettivamente gestibile</t>
  </si>
  <si>
    <t>Coerenza numero sistemi iDeA</t>
  </si>
  <si>
    <t>Stringhe non gestite da iDeA</t>
  </si>
  <si>
    <t>Resta su architettura tradizionale</t>
  </si>
  <si>
    <t>Potenza FV totale</t>
  </si>
  <si>
    <t>Stringhe totali × 10 kWp</t>
  </si>
  <si>
    <t>Potenza FV gestita da iDeA</t>
  </si>
  <si>
    <t>Sistemi iDeA effettivi × 10 kWp</t>
  </si>
  <si>
    <t>Potenza FV non gestita</t>
  </si>
  <si>
    <t>Potenza residua fuori iDeA</t>
  </si>
  <si>
    <t>Batteria nominale totale</t>
  </si>
  <si>
    <t>Numero sistemi × batteria per sistema</t>
  </si>
  <si>
    <t>Interpretazione rapida:
• Se G5 mostra ATTENZIONE, hai inserito più sistemi iDeA delle stringhe disponibili.
• Se G7 è sotto 100%, la batteria non riesce a coprire tutto il volume annuo richiesto: il modello riduce automaticamente arbitraggio e clipping/congestione.</t>
  </si>
  <si>
    <t>Batteria utilizzabile per ciclo</t>
  </si>
  <si>
    <t>MWh</t>
  </si>
  <si>
    <t>Conversione in MWh</t>
  </si>
  <si>
    <t>Capacità annua di carica batteria</t>
  </si>
  <si>
    <t>Throughput annuo disponibile in carica</t>
  </si>
  <si>
    <t>Capacità annua di scarica batteria</t>
  </si>
  <si>
    <t>Throughput annuo disponibile in scarica</t>
  </si>
  <si>
    <t>Ore equivalenti di accumulo su potenza gestita</t>
  </si>
  <si>
    <t>h</t>
  </si>
  <si>
    <t>Batteria nominale totale / potenza gestita</t>
  </si>
  <si>
    <t>Potenza gestita / potenza totale</t>
  </si>
  <si>
    <t>B. Produzione e recupero MPPT</t>
  </si>
  <si>
    <t>Produzione annua totale</t>
  </si>
  <si>
    <t>Potenza totale × producibilità specifica</t>
  </si>
  <si>
    <t>Produzione annua gestita da iDeA</t>
  </si>
  <si>
    <t>Base su cui applicare il recupero MPPT</t>
  </si>
  <si>
    <t>Produzione annua non gestita</t>
  </si>
  <si>
    <t>Quota residua fuori iDeA</t>
  </si>
  <si>
    <t>Recupero annuo MPPT</t>
  </si>
  <si>
    <t>Produzione gestita × 5%</t>
  </si>
  <si>
    <t>Valore annuo recupero MPPT</t>
  </si>
  <si>
    <t>Energia extra MPPT × valore standard</t>
  </si>
  <si>
    <t>C. Arbitraggio mercato e recupero storage</t>
  </si>
  <si>
    <t>Energia potenziale in ore a prezzo basso</t>
  </si>
  <si>
    <t>Energia gestita disponibile nelle ore basse</t>
  </si>
  <si>
    <t>Energia richiesta da congestione/clipping</t>
  </si>
  <si>
    <t>Input diretto dal foglio Input</t>
  </si>
  <si>
    <t>Energia totale richiesta in carica batteria</t>
  </si>
  <si>
    <t>Arbitraggio + recupero clipping/congestione</t>
  </si>
  <si>
    <t>Fattore di fattibilità batteria</t>
  </si>
  <si>
    <t>Riduce i flussi se il throughput annuo non basta</t>
  </si>
  <si>
    <t>Energia effettiva caricata per arbitraggio</t>
  </si>
  <si>
    <t>Energia arbitraggio dopo verifica batteria</t>
  </si>
  <si>
    <t>Energia effettiva caricata da congestione/clipping</t>
  </si>
  <si>
    <t>Energia clipping/congestione dopo verifica batteria</t>
  </si>
  <si>
    <t>Energia scaricata da arbitraggio</t>
  </si>
  <si>
    <t>Energia resa in uscita dalla batteria</t>
  </si>
  <si>
    <t>Energia scaricata da congestione/clipping</t>
  </si>
  <si>
    <t>Energia storage totale resa</t>
  </si>
  <si>
    <t>Somma delle due componenti storage</t>
  </si>
  <si>
    <t>D. Valore economico incrementale</t>
  </si>
  <si>
    <t>Valore arbitraggio mercato</t>
  </si>
  <si>
    <t>Ricavo serale meno costo/opportunità e degrado</t>
  </si>
  <si>
    <t>Valore recupero congestione/clipping</t>
  </si>
  <si>
    <t>Energia salvata e venduta in uscita</t>
  </si>
  <si>
    <t>Valore storage totale</t>
  </si>
  <si>
    <t>Somma arbitraggio + clipping/congestione</t>
  </si>
  <si>
    <t>MPPT + storage</t>
  </si>
  <si>
    <t>Incremento valore totale</t>
  </si>
  <si>
    <t>Incremento valore per sistema iDeA</t>
  </si>
  <si>
    <t>Valore totale / numero sistemi</t>
  </si>
  <si>
    <t>Incremento valore per stringa totale</t>
  </si>
  <si>
    <t>Valore totale / numero stringhe</t>
  </si>
  <si>
    <t>Incremento energia su produzione totale</t>
  </si>
  <si>
    <t>MWh extra / produzione annua totale</t>
  </si>
  <si>
    <t>key</t>
  </si>
  <si>
    <t>English</t>
  </si>
  <si>
    <t>Українська</t>
  </si>
  <si>
    <t>input_title</t>
  </si>
  <si>
    <t>Modello di calcolo iDea – impianto FV</t>
  </si>
  <si>
    <t>iDea calculation model – PV plant</t>
  </si>
  <si>
    <t>Розрахункова модель iDea – фотоелектрична станція</t>
  </si>
  <si>
    <t>input_subtitle</t>
  </si>
  <si>
    <t>Modifica solo le celle blu. Ogni sistema iDea gestisce 1 stringa da 10 kWp e può montare 25 o 40 kWh di batteria.</t>
  </si>
  <si>
    <t>Edit only the blue cells. Each iDea system manages 1 string of 10 kWp and can use either 25 or 40 kWh of battery.</t>
  </si>
  <si>
    <t>Змінюйте лише сині клітинки. Кожна система iDea керує 1 стрінгом на 10 кВтp і може використовувати батарею 25 або 40 кВт·год.</t>
  </si>
  <si>
    <t>input_sec_dim</t>
  </si>
  <si>
    <t>1. Dimensionamento iDea</t>
  </si>
  <si>
    <t>1. iDea sizing</t>
  </si>
  <si>
    <t>1. Підбір конфігурації iDea</t>
  </si>
  <si>
    <t>input_sec_prod</t>
  </si>
  <si>
    <t>2. Produzione e recupero MPPT</t>
  </si>
  <si>
    <t>2. Production and MPPT recovery</t>
  </si>
  <si>
    <t>2. Виробіток і приріст від MPPT</t>
  </si>
  <si>
    <t>input_sec_market</t>
  </si>
  <si>
    <t>3. Scenario mercato e recuperi</t>
  </si>
  <si>
    <t>3. Market scenario and recoveries</t>
  </si>
  <si>
    <t>3. Ринковий сценарій та відновлення енергії</t>
  </si>
  <si>
    <t>input_sec_notes</t>
  </si>
  <si>
    <t>4. Note operative</t>
  </si>
  <si>
    <t>4. Operating notes</t>
  </si>
  <si>
    <t>4. Робочі примітки</t>
  </si>
  <si>
    <t>input_logic_note</t>
  </si>
  <si>
    <t>Logica del modello:
• il recupero MPPT si applica solo alla potenza FV gestita da iDeA;
• l'arbitraggio di mercato usa l'energia disponibile nelle ore a prezzo basso;
• il recupero da congestione/clipping entra come energia annua addizionale da stoccare;
• arbitraggio e clipping/congestione vengono ridotti automaticamente se il throughput annuo della batteria non è sufficiente.</t>
  </si>
  <si>
    <t>Model logic:
• MPPT recovery is applied only to the PV power managed by iDea;
• market arbitrage uses the energy available during low-price hours;
• congestion/clipping recovery enters as additional annual energy to be stored;
• arbitrage and congestion/clipping flows are automatically reduced if annual battery throughput is not sufficient.</t>
  </si>
  <si>
    <t>Логіка моделі:
• приріст від MPPT застосовується лише до потужності ФЕС, якою керує iDea;
• ринковий арбітраж використовує енергію, доступну в години низької ціни;
• відновлення від перевантажень/кліпінгу вводиться як додаткова річна енергія для накопичення;
• потоки арбітражу та відновлення від перевантажень/кліпінгу автоматично зменшуються, якщо річної пропускної здатності батареї недостатньо.</t>
  </si>
  <si>
    <t>input_lang_note</t>
  </si>
  <si>
    <t>La lingua selezionata aggiorna Guida, Grafici e le note principali.</t>
  </si>
  <si>
    <t>The selected language updates Guide, Charts and the main notes.</t>
  </si>
  <si>
    <t>Обрана мова оновлює аркуші Guide, Charts і основні примітки.</t>
  </si>
  <si>
    <t>dashboard_title</t>
  </si>
  <si>
    <t>Sintesi modello iDea</t>
  </si>
  <si>
    <t>iDea model summary</t>
  </si>
  <si>
    <t>Підсумок моделі iDea</t>
  </si>
  <si>
    <t>dashboard_subtitle</t>
  </si>
  <si>
    <t>Dashboard sintetica. Per cambiare scenario usa il foglio Input. Per spiegazioni semplici consulta Guida e Grafici.</t>
  </si>
  <si>
    <t>Quick dashboard. Use the Input sheet to change the scenario. See Guide and Charts for plain-language explanations.</t>
  </si>
  <si>
    <t>Коротка панель. Для зміни сценарію використовуйте аркуш Input. Для простих пояснень дивіться Guide і Charts.</t>
  </si>
  <si>
    <t>dashboard_note</t>
  </si>
  <si>
    <t>simple_out_title</t>
  </si>
  <si>
    <t>OUT spiegati in modo semplice</t>
  </si>
  <si>
    <t>Outputs explained in simple words</t>
  </si>
  <si>
    <t>Пояснення результатів простими словами</t>
  </si>
  <si>
    <t>box1_title</t>
  </si>
  <si>
    <t>Miglior resa MPPT</t>
  </si>
  <si>
    <t>Better MPPT yield</t>
  </si>
  <si>
    <t>Кращий результат MPPT</t>
  </si>
  <si>
    <t>box1_text</t>
  </si>
  <si>
    <t>È l'energia extra annua ottenuta perché ogni stringa gestita può lavorare più vicino al proprio punto ottimo, invece di essere trascinata dalle altre stringhe in parallelo.</t>
  </si>
  <si>
    <t>This is the extra annual energy obtained because each managed string can operate closer to its own optimum point instead of being dragged by other parallel strings.</t>
  </si>
  <si>
    <t>Це додаткова річна енергія, яку отримують тому, що кожен керований стрінг працює ближче до власної оптимальної точки, а не підлаштовується під інші паралельні стрінги.</t>
  </si>
  <si>
    <t>box2_title</t>
  </si>
  <si>
    <t>Storage reso</t>
  </si>
  <si>
    <t>Useful storage output</t>
  </si>
  <si>
    <t>Корисна енергія зі сховища</t>
  </si>
  <si>
    <t>box2_text</t>
  </si>
  <si>
    <t>È l'energia effettivamente resa in uscita dopo le perdite della batteria. Non coincide con l'energia caricata: rappresenta la quota utile disponibile in scarica.</t>
  </si>
  <si>
    <t>This is the energy actually delivered after battery losses. It is not the same as charged energy: it is the useful share available on discharge.</t>
  </si>
  <si>
    <t>Це енергія, фактично віддана після втрат у батареї. Вона не дорівнює енергії заряджання: це корисна частка, доступна під час розряду.</t>
  </si>
  <si>
    <t>box3_title</t>
  </si>
  <si>
    <t>Recupero congestioni / clipping</t>
  </si>
  <si>
    <t>Congestion / clipping recovery</t>
  </si>
  <si>
    <t>Відновлення енергії від перевантажень / кліпінгу</t>
  </si>
  <si>
    <t>box3_text</t>
  </si>
  <si>
    <t>È l'energia che senza iDea sarebbe limitata, tagliata dal clipping o bloccata da vincoli di rete e che invece viene accumulata e valorizzata più tardi.</t>
  </si>
  <si>
    <t>This is the energy that without iDea would be curtailed, clipped or blocked by grid limits and is instead stored and valued later.</t>
  </si>
  <si>
    <t>Це енергія, яка без iDea була б обмежена, втрачена через кліпінг або заблокована мережевими обмеженнями, а з iDea накопичується та реалізується пізніше.</t>
  </si>
  <si>
    <t>box4_title</t>
  </si>
  <si>
    <t>Valore totale annuo</t>
  </si>
  <si>
    <t>Total annual value</t>
  </si>
  <si>
    <t>Загальна річна цінність</t>
  </si>
  <si>
    <t>box4_text</t>
  </si>
  <si>
    <t>Somma del valore MPPT e del valore storage. È il beneficio economico annuo incrementale stimato rispetto alla configurazione tradizionale.</t>
  </si>
  <si>
    <t>This is the sum of MPPT value and storage value. It is the estimated annual incremental economic benefit versus the traditional configuration.</t>
  </si>
  <si>
    <t>Це сума цінності від MPPT та накопичення. Це оцінений додатковий річний економічний ефект порівняно з традиційною конфігурацією.</t>
  </si>
  <si>
    <t>guide_title</t>
  </si>
  <si>
    <t>Manuale rapido di utilizzo</t>
  </si>
  <si>
    <t>Quick user guide</t>
  </si>
  <si>
    <t>Короткий посібник користувача</t>
  </si>
  <si>
    <t>guide_subtitle</t>
  </si>
  <si>
    <t>Usa il menu lingua in Input!B3. Modifica solo le celle blu nel foglio Input: formule, dashboard e grafici si aggiornano automaticamente.</t>
  </si>
  <si>
    <t>Use the language menu in Input!B3. Edit only the blue cells in the Input sheet: formulas, dashboard and charts update automatically.</t>
  </si>
  <si>
    <t>Використовуйте меню мови в Input!B3. Змінюйте лише сині клітинки на аркуші Input: формули, панель і графіки оновлюються автоматично.</t>
  </si>
  <si>
    <t>guide_sec_inputs</t>
  </si>
  <si>
    <t>1. Dati da modificare</t>
  </si>
  <si>
    <t>1. Inputs to edit</t>
  </si>
  <si>
    <t>1. Дані для зміни</t>
  </si>
  <si>
    <t>guide_sec_outputs</t>
  </si>
  <si>
    <t>2. OUT spiegati in modo semplice</t>
  </si>
  <si>
    <t>2. Outputs explained in simple words</t>
  </si>
  <si>
    <t>2. Пояснення результатів простими словами</t>
  </si>
  <si>
    <t>guide_sec_adapt</t>
  </si>
  <si>
    <t>3. Come adattare il modello a siti e mercati diversi</t>
  </si>
  <si>
    <t>3. How to adapt the model to different sites and markets</t>
  </si>
  <si>
    <t>3. Як адаптувати модель до інших майданчиків і ринків</t>
  </si>
  <si>
    <t>guide_sec_congestion</t>
  </si>
  <si>
    <t>4. Nota su recupero congestioni</t>
  </si>
  <si>
    <t>4. Note on congestion recovery</t>
  </si>
  <si>
    <t>4. Примітка щодо відновлення енергії при перевантаженнях</t>
  </si>
  <si>
    <t>hdr_cell</t>
  </si>
  <si>
    <t>Cella</t>
  </si>
  <si>
    <t>Cell</t>
  </si>
  <si>
    <t>Клітинка</t>
  </si>
  <si>
    <t>hdr_param</t>
  </si>
  <si>
    <t>Parametro</t>
  </si>
  <si>
    <t>Parameter</t>
  </si>
  <si>
    <t>Параметр</t>
  </si>
  <si>
    <t>hdr_current</t>
  </si>
  <si>
    <t>Valore attuale</t>
  </si>
  <si>
    <t>Current value</t>
  </si>
  <si>
    <t>Поточне значення</t>
  </si>
  <si>
    <t>hdr_why</t>
  </si>
  <si>
    <t>Cosa modificare e perché</t>
  </si>
  <si>
    <t>What to change and why</t>
  </si>
  <si>
    <t>Що змінювати і навіщо</t>
  </si>
  <si>
    <t>hdr_itlabel</t>
  </si>
  <si>
    <t>Etichetta dashboard</t>
  </si>
  <si>
    <t>Dashboard label</t>
  </si>
  <si>
    <t>Назва на панелі</t>
  </si>
  <si>
    <t>hdr_translation</t>
  </si>
  <si>
    <t>Traduzione</t>
  </si>
  <si>
    <t>Translation</t>
  </si>
  <si>
    <t>Переклад</t>
  </si>
  <si>
    <t>hdr_explanation</t>
  </si>
  <si>
    <t>Significato pratico</t>
  </si>
  <si>
    <t>Practical meaning</t>
  </si>
  <si>
    <t>Практичне значення</t>
  </si>
  <si>
    <t>p_B5</t>
  </si>
  <si>
    <t>Numero stringhe FV [n]</t>
  </si>
  <si>
    <t>Number of PV strings [n]</t>
  </si>
  <si>
    <t>Кількість PV-стрінгів [шт.]</t>
  </si>
  <si>
    <t>e_B5</t>
  </si>
  <si>
    <t>Cambia questo dato se la taglia dell'impianto è diversa. Il modello assume 10 kWp per stringa: quindi più stringhe = più potenza totale.</t>
  </si>
  <si>
    <t>Change this if plant size is different. The model assumes 10 kWp per string, so more strings mean more total power.</t>
  </si>
  <si>
    <t>Змініть це значення, якщо розмір станції інший. Модель припускає 10 кВтp на стрінг, тому більше стрінгів = більша загальна потужність.</t>
  </si>
  <si>
    <t>p_B6</t>
  </si>
  <si>
    <t>Numero sistemi iDeA [n]</t>
  </si>
  <si>
    <t>Number of iDea systems [n]</t>
  </si>
  <si>
    <t>Кількість систем iDea [шт.]</t>
  </si>
  <si>
    <t>e_B6</t>
  </si>
  <si>
    <t>Cambia questo dato se non tutte le stringhe sono gestite da iDeA. 1 sistema iDeA controlla 1 stringa.</t>
  </si>
  <si>
    <t>Change this if not all strings are managed by iDea. One iDea system controls one string.</t>
  </si>
  <si>
    <t>Змініть це значення, якщо не всі стрінги керуються iDea. Одна система iDea керує одним стрінгом.</t>
  </si>
  <si>
    <t>p_B7</t>
  </si>
  <si>
    <t>Batteria per sistema iDeA [kWh]</t>
  </si>
  <si>
    <t>Battery per iDea system [kWh]</t>
  </si>
  <si>
    <t>Батарея на одну систему iDea [кВт·год]</t>
  </si>
  <si>
    <t>e_B7</t>
  </si>
  <si>
    <t>Scegli 25 o 40 kWh in base alla configurazione reale. Questo cambia la capacità totale disponibile per accumulo e recuperi.</t>
  </si>
  <si>
    <t>Choose 25 or 40 kWh according to the real configuration. This changes the total storage capacity available for recoveries.</t>
  </si>
  <si>
    <t>Виберіть 25 або 40 кВт·год відповідно до реальної конфігурації. Це змінює загальну доступну ємність накопичення для відновлення енергії.</t>
  </si>
  <si>
    <t>p_B10</t>
  </si>
  <si>
    <t>Quota batteria utilizzabile [%]</t>
  </si>
  <si>
    <t>Usable battery fraction [%]</t>
  </si>
  <si>
    <t>Корисна частка батареї [%]</t>
  </si>
  <si>
    <t>e_B10</t>
  </si>
  <si>
    <t>Cambia questo dato se la finestra utile della batteria è diversa (per esempio per limiti di SOC o strategia commerciale).</t>
  </si>
  <si>
    <t>Change this if the usable battery window is different, for example because of SOC limits or a commercial strategy.</t>
  </si>
  <si>
    <t>Змініть це значення, якщо корисне вікно батареї інше, наприклад через межі SOC або комерційну стратегію.</t>
  </si>
  <si>
    <t>p_B11</t>
  </si>
  <si>
    <t>Cicli annui efficaci batteria [n/anno]</t>
  </si>
  <si>
    <t>Effective annual battery cycles [n/year]</t>
  </si>
  <si>
    <t>Ефективні річні цикли батареї [шт./рік]</t>
  </si>
  <si>
    <t>e_B11</t>
  </si>
  <si>
    <t>Cambia questo dato se prevedi un uso più o meno intenso della batteria durante l'anno.</t>
  </si>
  <si>
    <t>Change this if you expect a higher or lower use of the battery during the year.</t>
  </si>
  <si>
    <t>Змініть це значення, якщо очікуєте інтенсивніше або слабше використання батареї протягом року.</t>
  </si>
  <si>
    <t>p_B12</t>
  </si>
  <si>
    <t>Rendimento round-trip batteria [%]</t>
  </si>
  <si>
    <t>Battery round-trip efficiency [%]</t>
  </si>
  <si>
    <t>ККД батареї round-trip [%]</t>
  </si>
  <si>
    <t>e_B12</t>
  </si>
  <si>
    <t>Aggiorna questo dato se la batteria, l'elettronica o i test di prestazione mostrano un'efficienza diversa. Influisce direttamente sull'energia resa.</t>
  </si>
  <si>
    <t>Update this if the battery, power electronics or performance tests show a different efficiency. It directly affects delivered energy.</t>
  </si>
  <si>
    <t>Оновіть це значення, якщо батарея, силова електроніка або випробування показують інший ККД. Воно безпосередньо впливає на віддану енергію.</t>
  </si>
  <si>
    <t>p_B15</t>
  </si>
  <si>
    <t>Producibilità specifica [kWh/kWp/anno]</t>
  </si>
  <si>
    <t>Specific yield [kWh/kWp/year]</t>
  </si>
  <si>
    <t>Питомий виробіток [кВт·год/кВтp/рік]</t>
  </si>
  <si>
    <t>e_B15</t>
  </si>
  <si>
    <t>È il dato da cambiare quando il modello viene usato in un sito con irraggiamento diverso. Se esci dal mercato italiano, questo è il primo parametro da aggiornare.</t>
  </si>
  <si>
    <t>This is the key value to change when the model is used on a site with different irradiation. If you move outside Italy, this is the first parameter to update.</t>
  </si>
  <si>
    <t>Це головне значення, яке треба змінити, коли модель використовується на майданчику з іншим рівнем інсоляції. Якщо ви виходите за межі Італії, саме цей параметр оновлюють першим.</t>
  </si>
  <si>
    <t>p_B16</t>
  </si>
  <si>
    <t>Recupero MPPT [%]</t>
  </si>
  <si>
    <t>MPPT recovery [%]</t>
  </si>
  <si>
    <t>Приріст від MPPT [%]</t>
  </si>
  <si>
    <t>e_B16</t>
  </si>
  <si>
    <t>L'assunzione corrente è 5%. Cambia questo dato solo se hai misure di campo o casi validati che dimostrano un valore diverso.</t>
  </si>
  <si>
    <t>The current assumption is 5%. Change it only if you have field measurements or validated case studies showing a different value.</t>
  </si>
  <si>
    <t>Поточне припущення становить 5%. Змінюйте його лише за наявності польових вимірювань або підтверджених кейсів з іншим значенням.</t>
  </si>
  <si>
    <t>p_B17</t>
  </si>
  <si>
    <t>Valore energia standard MPPT [€/MWh]</t>
  </si>
  <si>
    <t>Standard energy value for MPPT [€/MWh]</t>
  </si>
  <si>
    <t>Базова вартість енергії для MPPT [€/MWh]</t>
  </si>
  <si>
    <t>e_B17</t>
  </si>
  <si>
    <t>Serve a valorizzare l'energia extra dovuta al solo MPPT. Aggiorna questo prezzo se cambia il benchmark economico del tuo mercato.</t>
  </si>
  <si>
    <t>This monetizes the extra energy created by MPPT alone. Update this price if the economic benchmark of your market is different.</t>
  </si>
  <si>
    <t>Це значення монетизує додаткову енергію лише від MPPT. Оновіть ціну, якщо економічний орієнтир вашого ринку відрізняється.</t>
  </si>
  <si>
    <t>p_B20</t>
  </si>
  <si>
    <t>Ore annue a prezzo basso o nullo [h/anno]</t>
  </si>
  <si>
    <t>Annual low or zero price hours [h/year]</t>
  </si>
  <si>
    <t>Річні години низької або нульової ціни [год/рік]</t>
  </si>
  <si>
    <t>e_B20</t>
  </si>
  <si>
    <t>Aggiorna questo dato con il profilo reale del mercato locale. È uno dei parametri chiave quando il modello viene usato fuori Italia.</t>
  </si>
  <si>
    <t>Update this with the real profile of the local market. It is a key parameter when the model is used outside Italy.</t>
  </si>
  <si>
    <t>Оновіть це значення відповідно до реального профілю місцевого ринку. Це один із ключових параметрів при використанні моделі поза Італією.</t>
  </si>
  <si>
    <t>p_B21</t>
  </si>
  <si>
    <t>Fattore di carico medio nelle ore basse [%]</t>
  </si>
  <si>
    <t>Average load factor in low-price hours [%]</t>
  </si>
  <si>
    <t>Середній коефіцієнт завантаження в години низької ціни [%]</t>
  </si>
  <si>
    <t>e_B21</t>
  </si>
  <si>
    <t>Adatta questo dato al profilo atteso di produzione nelle ore considerate. Se il sito produce meno o più del 55%, cambia il valore.</t>
  </si>
  <si>
    <t>Adapt this to the expected production profile during the selected hours. If the site produces less or more than 55%, change it.</t>
  </si>
  <si>
    <t>Підлаштуйте це значення під очікуваний профіль виробітку в обрані години. Якщо майданчик виробляє менше або більше ніж 55%, змініть параметр.</t>
  </si>
  <si>
    <t>p_B22</t>
  </si>
  <si>
    <t>Prezzo energia nelle ore basse [€/MWh]</t>
  </si>
  <si>
    <t>Energy price in low-price hours [€/MWh]</t>
  </si>
  <si>
    <t>Ціна енергії в години низької ціни [€/MWh]</t>
  </si>
  <si>
    <t>e_B22</t>
  </si>
  <si>
    <t>Inserisci il valore locale dell'energia nelle ore di carica. In alcuni mercati può essere zero, basso o anche negativo.</t>
  </si>
  <si>
    <t>Enter the local value of energy during charging hours. In some markets it can be zero, low or even negative.</t>
  </si>
  <si>
    <t>Введіть локальну вартість енергії в години заряджання. На деяких ринках вона може бути нульовою, низькою або навіть від’ємною.</t>
  </si>
  <si>
    <t>p_B23</t>
  </si>
  <si>
    <t>Prezzo energia in scarica/sera [€/MWh]</t>
  </si>
  <si>
    <t>Energy price during discharge/evening [€/MWh]</t>
  </si>
  <si>
    <t>Ціна енергії під час розряду / ввечері [€/MWh]</t>
  </si>
  <si>
    <t>e_B23</t>
  </si>
  <si>
    <t>Inserisci il prezzo locale delle ore in cui l'energia spostata viene valorizzata. È il principale driver del valore arbitraggio.</t>
  </si>
  <si>
    <t>Enter the local price of the hours when shifted energy is sold or valued. It is the main driver of arbitrage value.</t>
  </si>
  <si>
    <t>Введіть локальну ціну годин, коли зміщена енергія продається або оцінюється. Це головний чинник цінності арбітражу.</t>
  </si>
  <si>
    <t>p_B24</t>
  </si>
  <si>
    <t>Costo degrado batteria [€/MWh]</t>
  </si>
  <si>
    <t>Battery degradation cost [€/MWh]</t>
  </si>
  <si>
    <t>Вартість деградації батареї [€/MWh]</t>
  </si>
  <si>
    <t>e_B24</t>
  </si>
  <si>
    <t>Usa questo dato per rendere il business case più prudente. Se non vuoi considerare il degrado, lascia 0.</t>
  </si>
  <si>
    <t>Use this to make the business case more conservative. If you do not want to include degradation, leave 0.</t>
  </si>
  <si>
    <t>Використовуйте це значення, щоб зробити бізнес-кейс більш консервативним. Якщо не хочете враховувати деградацію, залиште 0.</t>
  </si>
  <si>
    <t>p_B25</t>
  </si>
  <si>
    <t>Energia recuperabile da congestione/clipping [MWh/anno]</t>
  </si>
  <si>
    <t>Recoverable congestion/clipping energy [MWh/year]</t>
  </si>
  <si>
    <t>Енергія, що може бути відновлена від перевантажень/кліпінгу [MWh/рік]</t>
  </si>
  <si>
    <t>e_B25</t>
  </si>
  <si>
    <t>Stima qui l'energia che senza iDea verrebbe persa, limitata o tagliata. Serve per valorizzare il beneficio di accumulo nelle congestioni di rete.</t>
  </si>
  <si>
    <t>Estimate here the energy that without iDea would be lost, curtailed or clipped. It captures the storage benefit during grid congestion.</t>
  </si>
  <si>
    <t>Оцініть тут енергію, яка без iDea була б втрачена, обмежена або зрізана кліпінгом. Це відображає вигоду накопичення під час мережевих перевантажень.</t>
  </si>
  <si>
    <t>o_mppt_mwh</t>
  </si>
  <si>
    <t>MPPT recovery [MWh/year]</t>
  </si>
  <si>
    <t>Приріст від MPPT [MWh/рік]</t>
  </si>
  <si>
    <t>x_mppt_mwh</t>
  </si>
  <si>
    <t>Energia extra annua prodotta grazie al miglior inseguimento del punto di massima potenza sulle stringhe gestite da iDeA.</t>
  </si>
  <si>
    <t>Extra annual energy produced thanks to better tracking of the maximum power point on strings managed by iDea.</t>
  </si>
  <si>
    <t>Додаткова річна енергія, вироблена завдяки кращому відстеженню точки максимальної потужності на стрінгах, якими керує iDea.</t>
  </si>
  <si>
    <t>o_mppt_val</t>
  </si>
  <si>
    <t>MPPT value [€ / year]</t>
  </si>
  <si>
    <t>Цінність MPPT [€ / рік]</t>
  </si>
  <si>
    <t>x_mppt_val</t>
  </si>
  <si>
    <t>Valore economico del solo extra rendimento MPPT, calcolato con il prezzo standard scelto nell'Input.</t>
  </si>
  <si>
    <t>Economic value of the extra MPPT gain only, calculated with the standard price chosen in Input.</t>
  </si>
  <si>
    <t>Економічна цінність лише додаткового приросту від MPPT, розрахована за базовою ціною, вибраною в Input.</t>
  </si>
  <si>
    <t>o_storage_mwh</t>
  </si>
  <si>
    <t>Useful storage output [MWh/year]</t>
  </si>
  <si>
    <t>Корисна енергія зі сховища [MWh/рік]</t>
  </si>
  <si>
    <t>x_storage_mwh</t>
  </si>
  <si>
    <t>Energia effettivamente resa dopo le perdite di batteria, sommando arbitraggio e recupero congestione/clipping.</t>
  </si>
  <si>
    <t>Energy actually delivered after battery losses, combining arbitrage and congestion/clipping recovery.</t>
  </si>
  <si>
    <t>Енергія, фактично віддана після втрат батареї, включно з арбітражем та відновленням від перевантажень/кліпінгу.</t>
  </si>
  <si>
    <t>o_arb_val</t>
  </si>
  <si>
    <t>Arbitrage value [€ / year]</t>
  </si>
  <si>
    <t>Цінність арбітражу [€ / рік]</t>
  </si>
  <si>
    <t>x_arb_val</t>
  </si>
  <si>
    <t>Valore extra ottenuto caricando quando il prezzo è basso e scaricando quando il prezzo è più alto.</t>
  </si>
  <si>
    <t>Extra value obtained by charging when price is low and discharging when price is higher.</t>
  </si>
  <si>
    <t>Додаткова цінність, отримана за рахунок заряджання, коли ціна низька, і розряджання, коли ціна вища.</t>
  </si>
  <si>
    <t>o_cong_val</t>
  </si>
  <si>
    <t>Congestion/clipping value [€ / year]</t>
  </si>
  <si>
    <t>Цінність відновлення перевантажень/кліпінгу [€ / рік]</t>
  </si>
  <si>
    <t>x_cong_val</t>
  </si>
  <si>
    <t>Valore dell'energia che senza iDea sarebbe stata persa per congestioni di rete o clipping dell'impianto.</t>
  </si>
  <si>
    <t>Value of the energy that without iDea would have been lost because of grid congestion or plant clipping.</t>
  </si>
  <si>
    <t>Цінність енергії, яка без iDea була б втрачена через мережеві перевантаження або кліпінг станції.</t>
  </si>
  <si>
    <t>o_total_val</t>
  </si>
  <si>
    <t>Total value [€ / year]</t>
  </si>
  <si>
    <t>Загальна цінність [€ / рік]</t>
  </si>
  <si>
    <t>x_total_val</t>
  </si>
  <si>
    <t>Beneficio economico annuo incrementale complessivo stimato dal modello rispetto alla configurazione tradizionale.</t>
  </si>
  <si>
    <t>Total annual incremental economic benefit estimated by the model versus the traditional configuration.</t>
  </si>
  <si>
    <t>Загальний додатковий річний економічний ефект, який модель оцінює порівняно з традиційною конфігурацією.</t>
  </si>
  <si>
    <t>o_feas</t>
  </si>
  <si>
    <t>Battery throughput feasibility</t>
  </si>
  <si>
    <t>Здійсненність пропускної здатності батареї</t>
  </si>
  <si>
    <t>x_feas</t>
  </si>
  <si>
    <t>Se è sotto il 100%, la batteria è troppo piccola per gestire tutti i flussi annui richiesti e il modello li riduce automaticamente.</t>
  </si>
  <si>
    <t>If it is below 100%, the battery is too small to handle all requested annual flows and the model automatically scales them down.</t>
  </si>
  <si>
    <t>Якщо значення нижче 100%, батарея замала для всіх потрібних річних потоків, і модель автоматично їх зменшує.</t>
  </si>
  <si>
    <t>o_per_system</t>
  </si>
  <si>
    <t>Value increase per system</t>
  </si>
  <si>
    <t>Приріст цінності на одну систему</t>
  </si>
  <si>
    <t>x_per_system</t>
  </si>
  <si>
    <t>Valore medio annuo per singolo sistema iDeA: utile per una valutazione rapida per modulo o lotto.</t>
  </si>
  <si>
    <t>Average annual value per iDea system: useful for a quick module-by-module or lot-by-lot assessment.</t>
  </si>
  <si>
    <t>Середня річна цінність на одну систему iDea: корисно для швидкої оцінки по модулях або партіях.</t>
  </si>
  <si>
    <t>adapt_note</t>
  </si>
  <si>
    <t>Per siti fuori Italia, inizia da tre gruppi di celle: B15 (producibilità/irraggiamento), B20:B24 (ore e prezzi di mercato), B25 (energia persa per congestione o clipping). Se cambia la tecnologia batteria, aggiorna anche B10:B12.</t>
  </si>
  <si>
    <t>For sites outside Italy, start with three groups of cells: B15 (specific yield / irradiation), B20:B24 (market hours and prices), and B25 (energy lost because of congestion or clipping). If battery technology changes, also update B10:B12.</t>
  </si>
  <si>
    <t>Для майданчиків поза Італією починайте з трьох груп клітинок: B15 (питомий виробіток / інсоляція), B20:B24 (ринкові години та ціни) і B25 (енергія, втрачена через перевантаження або кліпінг). Якщо змінюється технологія батареї, також оновіть B10:B12.</t>
  </si>
  <si>
    <t>congestion_note</t>
  </si>
  <si>
    <t>Recupero congestioni = energia che l'impianto produrrebbe ma che non può immettere subito in rete per limiti di rete, clipping o ordini di riduzione. Il modello assume che questa energia possa essere caricata in batteria e valorizzata più tardi, nei limiti del throughput disponibile.</t>
  </si>
  <si>
    <t>Congestion recovery = energy the plant would produce but cannot inject immediately because of grid limits, clipping or curtailment orders. The model assumes this energy can be charged into the battery and monetized later, within available throughput limits.</t>
  </si>
  <si>
    <t>Відновлення енергії при перевантаженнях = енергія, яку станція могла б виробити, але не може одразу віддати в мережу через мережеві обмеження, кліпінг або команди на обмеження. Модель припускає, що цю енергію можна зарядити в батарею та монетизувати пізніше в межах доступної пропускної здатності.</t>
  </si>
  <si>
    <t>charts_title</t>
  </si>
  <si>
    <t>Grafici di confronto prima / dopo</t>
  </si>
  <si>
    <t>Before / after comparison charts</t>
  </si>
  <si>
    <t>Графіки порівняння до / після</t>
  </si>
  <si>
    <t>charts_subtitle</t>
  </si>
  <si>
    <t>I grafici aiutano a leggere il modello anche a chi non è tecnico. La lingua segue la selezione in Input!B3.</t>
  </si>
  <si>
    <t>These charts help non-technical readers understand the model. The language follows the selection in Input!B3.</t>
  </si>
  <si>
    <t>Ці графіки допомагають зрозуміти модель навіть нетехнічним користувачам. Мова слідує за вибором у Input!B3.</t>
  </si>
  <si>
    <t>chart1_header</t>
  </si>
  <si>
    <t>Energia sulle stringhe gestite: prima / dopo MPPT</t>
  </si>
  <si>
    <t>Energy on managed strings: before / after MPPT</t>
  </si>
  <si>
    <t>Енергія на керованих стрінгах: до / після MPPT</t>
  </si>
  <si>
    <t>chart2_header</t>
  </si>
  <si>
    <t>Valore economico dei flussi influenzati da iDea</t>
  </si>
  <si>
    <t>Economic value of flows affected by iDea</t>
  </si>
  <si>
    <t>Економічна цінність потоків, на які впливає iDea</t>
  </si>
  <si>
    <t>chart3_header</t>
  </si>
  <si>
    <t>Composizione del valore incrementale</t>
  </si>
  <si>
    <t>Composition of incremental value</t>
  </si>
  <si>
    <t>Складові додаткової цінності</t>
  </si>
  <si>
    <t>charts_note</t>
  </si>
  <si>
    <t>Grafico 1 confronta l'energia annua delle stringhe gestite prima e dopo il solo recupero MPPT. Grafico 2 confronta il valore economico dei flussi influenzati da iDea prima e dopo l'ottimizzazione. 'Prima' = configurazione tradizionale; 'Dopo' = configurazione con iDea.</t>
  </si>
  <si>
    <t>Chart 1 compares annual energy on managed strings before and after MPPT gain only. Chart 2 compares the economic value of flows affected by iDea before and after optimization. 'Before' = traditional configuration; 'After' = configuration with iDea.</t>
  </si>
  <si>
    <t>Графік 1 порівнює річну енергію на керованих стрінгах до та після врахування лише приросту від MPPT. Графік 2 порівнює економічну цінність потоків, на які впливає iDea, до та після оптимізації. 'До' = традиційна конфігурація; 'Після' = конфігурація з iDea.</t>
  </si>
  <si>
    <t>before</t>
  </si>
  <si>
    <t>Prima</t>
  </si>
  <si>
    <t>Before</t>
  </si>
  <si>
    <t>До</t>
  </si>
  <si>
    <t>after</t>
  </si>
  <si>
    <t>Dopo</t>
  </si>
  <si>
    <t>After</t>
  </si>
  <si>
    <t>Після</t>
  </si>
  <si>
    <t>c_energy_managed</t>
  </si>
  <si>
    <t>Energia FV gestita [MWh/anno]</t>
  </si>
  <si>
    <t>Managed PV energy [MWh/year]</t>
  </si>
  <si>
    <t>Керована PV-енергія [MWh/рік]</t>
  </si>
  <si>
    <t>c_value_affected</t>
  </si>
  <si>
    <t>Valore flussi gestiti [€ / anno]</t>
  </si>
  <si>
    <t>Value of affected flows [€ / year]</t>
  </si>
  <si>
    <t>Цінність керованих потоків [€ / рік]</t>
  </si>
  <si>
    <t>c_mppt</t>
  </si>
  <si>
    <t>Valore MPPT</t>
  </si>
  <si>
    <t>MPPT value</t>
  </si>
  <si>
    <t>Цінність MPPT</t>
  </si>
  <si>
    <t>c_arb</t>
  </si>
  <si>
    <t>Valore arbitraggio</t>
  </si>
  <si>
    <t>Arbitrage value</t>
  </si>
  <si>
    <t>Цінність арбітражу</t>
  </si>
  <si>
    <t>c_cong</t>
  </si>
  <si>
    <t>Valore congestioni / clipping</t>
  </si>
  <si>
    <t>Congestion / clipping value</t>
  </si>
  <si>
    <t>Цінність перевантажень / кліпінгу</t>
  </si>
  <si>
    <t>Suggerimento d'uso: imposta in Input il numero di stringhe, il numero di sistemi iDeA e la batteria 25/40 kWh. Il modello calcola automaticamente la potenza gestita, il recupero MPPT al 11%, la capacità di accumulo, l'arbitraggio di mercato e l'eventuale recupero da congestione/clipping. Se la batteria non basta, il modello riduce in automatico i flussi storage tramite il fattore di fattibilità.</t>
  </si>
  <si>
    <t>How to use: in Input set the number of strings, the number of iDea systems and the 25/40 kWh battery size. The model automatically calculates managed power, 11% MPPT recovery, storage capacity, market arbitrage and any congestion/clipping recovery. If the battery is too small, storage flows are automatically reduced through the feasibility factor.</t>
  </si>
  <si>
    <t>Як користуватися: на аркуші Input задайте кількість стрінгів, кількість систем iDea та розмір батареї 25/40 кВт·год. Модель автоматично розраховує керовану потужність, 11% приріст від MPPT, ємність накопичення, ринковий арбітраж і можливе відновлення енергії від перевантажень/кліпінгу. Якщо батарея замала, модель автоматично зменшує потоки накопичення через коефіцієнт здійсненності.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</si>
</sst>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Red]\(#,##0.0\);\-"/>
    <numFmt numFmtId="165" formatCode="0.0%"/>
    <numFmt numFmtId="166" formatCode="\€\ #,##0;[Red]\(\€\ #,##0\);\-"/>
    <numFmt numFmtId="167" formatCode="#,##0;[Red]\(#,##0\);\-"/>
    <numFmt numFmtId="168" formatCode="#,##0.0"/>
  </numFmts>
  <fonts count="21" x14ac:knownFonts="1">
    <font>
      <sz val="11"/>
      <color theme="1"/>
      <name val="Calibri"/>
      <family val="2"/>
      <scheme val="minor"/>
    </font>
    <font>
      <b/>
      <sz val="14"/>
      <color rgb="FFFFFFFF"/>
      <name val="Calibri"/>
      <family val="2"/>
    </font>
    <font>
      <i/>
      <sz val="10"/>
      <name val="Calibri"/>
      <family val="2"/>
    </font>
    <font>
      <b/>
      <sz val="11"/>
      <color rgb="FFFFFFFF"/>
      <name val="Calibri"/>
      <family val="2"/>
    </font>
    <font>
      <i/>
      <sz val="11"/>
      <color rgb="FF666666"/>
      <name val="Calibri"/>
      <family val="2"/>
    </font>
    <font>
      <sz val="11"/>
      <color rgb="FF0000FF"/>
      <name val="Calibri"/>
      <family val="2"/>
    </font>
    <font>
      <sz val="11"/>
      <color rgb="FF666666"/>
      <name val="Calibri"/>
      <family val="2"/>
    </font>
    <font>
      <sz val="11"/>
      <color rgb="FF000000"/>
      <name val="Calibri"/>
      <family val="2"/>
    </font>
    <font>
      <b/>
      <sz val="11"/>
      <name val="Calibri"/>
      <family val="2"/>
    </font>
    <font>
      <b/>
      <sz val="14"/>
      <name val="Calibri"/>
      <family val="2"/>
    </font>
    <font>
      <sz val="11"/>
      <name val="Calibri"/>
      <family val="2"/>
    </font>
    <font>
      <b/>
      <sz val="11"/>
      <color rgb="FF000000"/>
      <name val="Calibri"/>
      <family val="2"/>
    </font>
    <font>
      <sz val="11"/>
      <color rgb="FF7030A0"/>
      <name val="Calibri"/>
      <family val="2"/>
    </font>
    <font>
      <sz val="10"/>
      <color rgb="FF666666"/>
      <name val="Calibri"/>
      <family val="2"/>
    </font>
    <font>
      <b/>
      <sz val="10"/>
      <color rgb="FF000000"/>
      <name val="Calibri"/>
      <family val="2"/>
    </font>
    <font>
      <sz val="10"/>
      <color rgb="FF000000"/>
      <name val="Calibri"/>
      <family val="2"/>
    </font>
    <font>
      <sz val="10"/>
      <color rgb="FF000000"/>
      <name val="Calibri"/>
      <family val="2"/>
    </font>
    <font>
      <sz val="11"/>
      <color rgb="FF000000"/>
      <name val="Calibri"/>
      <family val="2"/>
    </font>
    <font>
      <i/>
      <sz val="9"/>
      <color rgb="FF666666"/>
      <name val="Calibri"/>
      <family val="2"/>
    </font>
    <font>
      <sz val="11"/>
      <color rgb="FF4F81BD"/>
      <name val="Consolas"/>
      <family val="3"/>
    </font>
    <font>
      <sz val="11"/>
      <color theme="1"/>
      <name val="Calibri"/>
      <family val="2"/>
      <scheme val="minor"/>
    </font>
  </fonts>
  <fills count="17">
    <fill>
      <patternFill patternType="none"/>
    </fill>
    <fill>
      <patternFill patternType="gray125"/>
    </fill>
    <fill>
      <patternFill patternType="solid">
        <fgColor rgb="FF0F243E"/>
      </patternFill>
    </fill>
    <fill>
      <patternFill patternType="solid">
        <fgColor rgb="FFD9E2F3"/>
      </patternFill>
    </fill>
    <fill>
      <patternFill patternType="solid">
        <fgColor rgb="FF1F4E78"/>
      </patternFill>
    </fill>
    <fill>
      <patternFill patternType="solid">
        <fgColor rgb="FFD9EAF7"/>
      </patternFill>
    </fill>
    <fill>
      <patternFill patternType="solid">
        <fgColor rgb="FFE7E6E6"/>
      </patternFill>
    </fill>
    <fill>
      <patternFill patternType="solid">
        <fgColor rgb="FFF3F6FA"/>
      </patternFill>
    </fill>
    <fill>
      <patternFill patternType="solid">
        <fgColor rgb="FFFFFFFF"/>
      </patternFill>
    </fill>
    <fill>
      <patternFill patternType="solid">
        <fgColor rgb="FFFFF2CC"/>
      </patternFill>
    </fill>
    <fill>
      <patternFill patternType="solid">
        <fgColor rgb="FFD9EAD3"/>
      </patternFill>
    </fill>
    <fill>
      <patternFill patternType="solid">
        <fgColor rgb="FFDDEBF7"/>
      </patternFill>
    </fill>
    <fill>
      <patternFill patternType="solid">
        <fgColor rgb="FFEADCF8"/>
      </patternFill>
    </fill>
    <fill>
      <patternFill patternType="solid">
        <fgColor rgb="FFF3F6FA"/>
      </patternFill>
    </fill>
    <fill>
      <patternFill patternType="solid">
        <fgColor rgb="FFD9EAD3"/>
      </patternFill>
    </fill>
    <fill>
      <patternFill patternType="solid">
        <fgColor rgb="FFF8FBFF"/>
      </patternFill>
    </fill>
    <fill>
      <patternFill patternType="solid">
        <fgColor rgb="FFFFFFFF"/>
      </patternFill>
    </fill>
  </fills>
  <borders count="14">
    <border>
      <left/>
      <right/>
      <top/>
      <bottom/>
      <diagonal/>
    </border>
    <border>
      <left/>
      <right/>
      <top/>
      <bottom style="thin">
        <color rgb="FFBFBFBF"/>
      </bottom>
      <diagonal/>
    </border>
    <border>
      <left style="medium">
        <color rgb="FF1F4E78"/>
      </left>
      <right style="medium">
        <color rgb="FF1F4E78"/>
      </right>
      <top style="medium">
        <color rgb="FF1F4E78"/>
      </top>
      <bottom style="medium">
        <color rgb="FF1F4E78"/>
      </bottom>
      <diagonal/>
    </border>
    <border>
      <left/>
      <right/>
      <top style="medium">
        <color rgb="FF1F4E78"/>
      </top>
      <bottom/>
      <diagonal/>
    </border>
    <border>
      <left/>
      <right style="medium">
        <color rgb="FF1F4E78"/>
      </right>
      <top style="medium">
        <color rgb="FF1F4E78"/>
      </top>
      <bottom/>
      <diagonal/>
    </border>
    <border>
      <left/>
      <right style="medium">
        <color rgb="FF1F4E78"/>
      </right>
      <top style="medium">
        <color rgb="FF1F4E78"/>
      </top>
      <bottom style="medium">
        <color rgb="FF1F4E78"/>
      </bottom>
      <diagonal/>
    </border>
    <border>
      <left style="medium">
        <color rgb="FF1F4E78"/>
      </left>
      <right/>
      <top/>
      <bottom style="medium">
        <color rgb="FF1F4E78"/>
      </bottom>
      <diagonal/>
    </border>
    <border>
      <left/>
      <right/>
      <top/>
      <bottom style="medium">
        <color rgb="FF1F4E78"/>
      </bottom>
      <diagonal/>
    </border>
    <border>
      <left/>
      <right style="medium">
        <color rgb="FF1F4E78"/>
      </right>
      <top/>
      <bottom style="medium">
        <color rgb="FF1F4E78"/>
      </bottom>
      <diagonal/>
    </border>
    <border>
      <left/>
      <right/>
      <top style="medium">
        <color rgb="FF1F4E78"/>
      </top>
      <bottom style="medium">
        <color rgb="FF1F4E78"/>
      </bottom>
      <diagonal/>
    </border>
    <border>
      <left/>
      <right/>
      <top style="thin">
        <color rgb="FFD9D9D9"/>
      </top>
      <bottom style="thin">
        <color rgb="FFD9D9D9"/>
      </bottom>
      <diagonal/>
    </border>
    <border>
      <left/>
      <right/>
      <top style="thin">
        <color rgb="FFD9D9D9"/>
      </top>
      <bottom style="thin">
        <color rgb="FFD9D9D9"/>
      </bottom>
      <diagonal/>
    </border>
    <border>
      <left/>
      <right/>
      <top style="thin">
        <color rgb="FFD9D9D9"/>
      </top>
      <bottom style="thin">
        <color rgb="FFD9D9D9"/>
      </bottom>
      <diagonal/>
    </border>
    <border>
      <left/>
      <right/>
      <top/>
      <bottom/>
      <diagonal/>
    </border>
  </borders>
  <cellStyleXfs count="2">
    <xf numFmtId="0" fontId="0" fillId="0" borderId="0"/>
    <xf numFmtId="0" fontId="20" fillId="0" borderId="0"/>
  </cellStyleXfs>
  <cellXfs count="65">
    <xf numFmtId="0" fontId="0" fillId="0" borderId="0" xfId="0"/>
    <xf numFmtId="0" fontId="0" fillId="0" borderId="0" xfId="1" applyFont="1" applyAlignment="1">
      <alignment wrapText="1"/>
    </xf>
    <xf numFmtId="167" fontId="0" fillId="0" borderId="0" xfId="1" applyNumberFormat="1" applyFont="1"/>
    <xf numFmtId="0" fontId="4" fillId="0" borderId="0" xfId="1" applyFont="1"/>
    <xf numFmtId="0" fontId="0" fillId="0" borderId="0" xfId="1" applyFont="1" applyAlignment="1">
      <alignment horizontal="left"/>
    </xf>
    <xf numFmtId="165" fontId="0" fillId="0" borderId="0" xfId="1" applyNumberFormat="1" applyFont="1"/>
    <xf numFmtId="164" fontId="0" fillId="0" borderId="0" xfId="1" applyNumberFormat="1" applyFont="1"/>
    <xf numFmtId="166" fontId="0" fillId="0" borderId="0" xfId="1" applyNumberFormat="1" applyFont="1"/>
    <xf numFmtId="0" fontId="0" fillId="0" borderId="1" xfId="1" applyFont="1" applyBorder="1" applyAlignment="1">
      <alignment wrapText="1"/>
    </xf>
    <xf numFmtId="167" fontId="5" fillId="5" borderId="1" xfId="1" applyNumberFormat="1" applyFont="1" applyFill="1" applyBorder="1" applyAlignment="1">
      <alignment horizontal="right"/>
    </xf>
    <xf numFmtId="0" fontId="4" fillId="0" borderId="1" xfId="1" applyFont="1" applyBorder="1"/>
    <xf numFmtId="0" fontId="4" fillId="0" borderId="1" xfId="1" applyFont="1" applyBorder="1" applyAlignment="1">
      <alignment wrapText="1"/>
    </xf>
    <xf numFmtId="164" fontId="5" fillId="5" borderId="1" xfId="1" applyNumberFormat="1" applyFont="1" applyFill="1" applyBorder="1" applyAlignment="1">
      <alignment horizontal="right"/>
    </xf>
    <xf numFmtId="164" fontId="6" fillId="6" borderId="1" xfId="1" applyNumberFormat="1" applyFont="1" applyFill="1" applyBorder="1" applyAlignment="1">
      <alignment horizontal="right"/>
    </xf>
    <xf numFmtId="165" fontId="5" fillId="5" borderId="1" xfId="1" applyNumberFormat="1" applyFont="1" applyFill="1" applyBorder="1" applyAlignment="1">
      <alignment horizontal="right"/>
    </xf>
    <xf numFmtId="167" fontId="7" fillId="8" borderId="1" xfId="1" applyNumberFormat="1" applyFont="1" applyFill="1" applyBorder="1" applyAlignment="1">
      <alignment horizontal="right"/>
    </xf>
    <xf numFmtId="0" fontId="0" fillId="0" borderId="1" xfId="1" applyFont="1" applyBorder="1" applyAlignment="1">
      <alignment horizontal="left"/>
    </xf>
    <xf numFmtId="165" fontId="0" fillId="0" borderId="1" xfId="1" applyNumberFormat="1" applyFont="1" applyBorder="1" applyAlignment="1">
      <alignment horizontal="right"/>
    </xf>
    <xf numFmtId="164" fontId="7" fillId="8" borderId="1" xfId="1" applyNumberFormat="1" applyFont="1" applyFill="1" applyBorder="1" applyAlignment="1">
      <alignment horizontal="right"/>
    </xf>
    <xf numFmtId="165" fontId="7" fillId="8" borderId="1" xfId="1" applyNumberFormat="1" applyFont="1" applyFill="1" applyBorder="1" applyAlignment="1">
      <alignment horizontal="right"/>
    </xf>
    <xf numFmtId="166" fontId="7" fillId="8" borderId="1" xfId="1" applyNumberFormat="1" applyFont="1" applyFill="1" applyBorder="1" applyAlignment="1">
      <alignment horizontal="right"/>
    </xf>
    <xf numFmtId="0" fontId="10" fillId="0" borderId="0" xfId="1" applyFont="1" applyAlignment="1">
      <alignment wrapText="1"/>
    </xf>
    <xf numFmtId="0" fontId="11" fillId="0" borderId="1" xfId="1" applyFont="1" applyBorder="1" applyAlignment="1">
      <alignment horizontal="left" vertical="center"/>
    </xf>
    <xf numFmtId="167" fontId="12" fillId="12" borderId="1" xfId="1" applyNumberFormat="1" applyFont="1" applyFill="1" applyBorder="1" applyAlignment="1">
      <alignment horizontal="center" vertical="center"/>
    </xf>
    <xf numFmtId="0" fontId="14" fillId="14" borderId="2" xfId="1" applyFont="1" applyFill="1" applyBorder="1" applyAlignment="1">
      <alignment horizontal="center" vertical="center" wrapText="1"/>
    </xf>
    <xf numFmtId="0" fontId="15" fillId="15" borderId="10" xfId="1" applyFont="1" applyFill="1" applyBorder="1" applyAlignment="1">
      <alignment horizontal="left" vertical="center" wrapText="1"/>
    </xf>
    <xf numFmtId="0" fontId="17" fillId="0" borderId="13" xfId="1" applyFont="1" applyBorder="1" applyAlignment="1">
      <alignment horizontal="left" vertical="center"/>
    </xf>
    <xf numFmtId="0" fontId="18" fillId="0" borderId="13" xfId="1" applyFont="1" applyBorder="1" applyAlignment="1">
      <alignment horizontal="left" vertical="center"/>
    </xf>
    <xf numFmtId="0" fontId="15" fillId="13" borderId="10" xfId="1" applyFont="1" applyFill="1" applyBorder="1" applyAlignment="1">
      <alignment horizontal="left" vertical="center"/>
    </xf>
    <xf numFmtId="168" fontId="15" fillId="16" borderId="10" xfId="1" applyNumberFormat="1" applyFont="1" applyFill="1" applyBorder="1" applyAlignment="1">
      <alignment horizontal="right" vertical="center"/>
    </xf>
    <xf numFmtId="166" fontId="15" fillId="16" borderId="10" xfId="1" applyNumberFormat="1" applyFont="1" applyFill="1" applyBorder="1" applyAlignment="1">
      <alignment horizontal="right" vertical="center"/>
    </xf>
    <xf numFmtId="167" fontId="16" fillId="13" borderId="10" xfId="1" applyNumberFormat="1" applyFont="1" applyFill="1" applyBorder="1" applyAlignment="1">
      <alignment horizontal="right" vertical="center"/>
    </xf>
    <xf numFmtId="164" fontId="16" fillId="13" borderId="10" xfId="1" applyNumberFormat="1" applyFont="1" applyFill="1" applyBorder="1" applyAlignment="1">
      <alignment horizontal="right" vertical="center"/>
    </xf>
    <xf numFmtId="165" fontId="16" fillId="13" borderId="10" xfId="1" applyNumberFormat="1" applyFont="1" applyFill="1" applyBorder="1" applyAlignment="1">
      <alignment horizontal="right" vertical="center"/>
    </xf>
    <xf numFmtId="0" fontId="8" fillId="11" borderId="2" xfId="1" applyFont="1" applyFill="1" applyBorder="1" applyAlignment="1">
      <alignment horizontal="center" vertical="center" wrapText="1"/>
    </xf>
    <xf numFmtId="0" fontId="0" fillId="0" borderId="5" xfId="1" applyFont="1" applyBorder="1"/>
    <xf numFmtId="165" fontId="9" fillId="10" borderId="2" xfId="1" applyNumberFormat="1" applyFont="1" applyFill="1" applyBorder="1" applyAlignment="1">
      <alignment horizontal="center" vertical="center"/>
    </xf>
    <xf numFmtId="0" fontId="0" fillId="0" borderId="3" xfId="1" applyFont="1" applyBorder="1"/>
    <xf numFmtId="0" fontId="0" fillId="0" borderId="4" xfId="1" applyFont="1" applyBorder="1"/>
    <xf numFmtId="0" fontId="0" fillId="0" borderId="6" xfId="1" applyFont="1" applyBorder="1"/>
    <xf numFmtId="0" fontId="0" fillId="0" borderId="7" xfId="1" applyFont="1" applyBorder="1"/>
    <xf numFmtId="0" fontId="0" fillId="0" borderId="8" xfId="1" applyFont="1" applyBorder="1"/>
    <xf numFmtId="164" fontId="9" fillId="10" borderId="2" xfId="1" applyNumberFormat="1" applyFont="1" applyFill="1" applyBorder="1" applyAlignment="1">
      <alignment horizontal="center" vertical="center"/>
    </xf>
    <xf numFmtId="164" fontId="9" fillId="11" borderId="2" xfId="1" applyNumberFormat="1" applyFont="1" applyFill="1" applyBorder="1" applyAlignment="1">
      <alignment horizontal="center" vertical="center"/>
    </xf>
    <xf numFmtId="0" fontId="1" fillId="2" borderId="0" xfId="1" applyFont="1" applyFill="1" applyAlignment="1">
      <alignment horizontal="left" vertical="center" wrapText="1"/>
    </xf>
    <xf numFmtId="0" fontId="0" fillId="0" borderId="0" xfId="0"/>
    <xf numFmtId="0" fontId="0" fillId="0" borderId="9" xfId="1" applyFont="1" applyBorder="1"/>
    <xf numFmtId="0" fontId="15" fillId="13" borderId="0" xfId="1" applyFont="1" applyFill="1" applyAlignment="1">
      <alignment horizontal="left" vertical="top" wrapText="1"/>
    </xf>
    <xf numFmtId="0" fontId="14" fillId="14" borderId="2" xfId="1" applyFont="1" applyFill="1" applyBorder="1" applyAlignment="1">
      <alignment horizontal="center" vertical="center"/>
    </xf>
    <xf numFmtId="0" fontId="8" fillId="10" borderId="2" xfId="1" applyFont="1" applyFill="1" applyBorder="1" applyAlignment="1">
      <alignment horizontal="center" vertical="center" wrapText="1"/>
    </xf>
    <xf numFmtId="166" fontId="9" fillId="11" borderId="2" xfId="1" applyNumberFormat="1" applyFont="1" applyFill="1" applyBorder="1" applyAlignment="1">
      <alignment horizontal="center" vertical="center"/>
    </xf>
    <xf numFmtId="0" fontId="2" fillId="3" borderId="0" xfId="1" applyFont="1" applyFill="1" applyAlignment="1">
      <alignment horizontal="left" vertical="center" wrapText="1"/>
    </xf>
    <xf numFmtId="0" fontId="0" fillId="7" borderId="0" xfId="1" applyFont="1" applyFill="1" applyAlignment="1">
      <alignment horizontal="left" vertical="center" wrapText="1"/>
    </xf>
    <xf numFmtId="0" fontId="3" fillId="4" borderId="0" xfId="1" applyFont="1" applyFill="1" applyAlignment="1">
      <alignment horizontal="left"/>
    </xf>
    <xf numFmtId="0" fontId="3" fillId="4" borderId="0" xfId="1" applyFont="1" applyFill="1" applyAlignment="1">
      <alignment horizontal="left" vertical="center"/>
    </xf>
    <xf numFmtId="0" fontId="3" fillId="4" borderId="0" xfId="1" applyFont="1" applyFill="1" applyAlignment="1">
      <alignment horizontal="left" vertical="center" wrapText="1"/>
    </xf>
    <xf numFmtId="0" fontId="13" fillId="13" borderId="0" xfId="1" applyFont="1" applyFill="1" applyAlignment="1">
      <alignment horizontal="left" vertical="center" wrapText="1"/>
    </xf>
    <xf numFmtId="0" fontId="19" fillId="15" borderId="10" xfId="1" applyFont="1" applyFill="1" applyBorder="1" applyAlignment="1">
      <alignment horizontal="left" vertical="center"/>
    </xf>
    <xf numFmtId="0" fontId="0" fillId="0" borderId="11" xfId="1" applyFont="1" applyBorder="1"/>
    <xf numFmtId="0" fontId="1" fillId="2" borderId="0" xfId="1" applyFont="1" applyFill="1" applyAlignment="1">
      <alignment horizontal="left" vertical="center"/>
    </xf>
    <xf numFmtId="0" fontId="15" fillId="16" borderId="12" xfId="1" applyFont="1" applyFill="1" applyBorder="1" applyAlignment="1">
      <alignment horizontal="left" vertical="top" wrapText="1"/>
    </xf>
    <xf numFmtId="0" fontId="14" fillId="14" borderId="2" xfId="1" applyFont="1" applyFill="1" applyBorder="1" applyAlignment="1">
      <alignment horizontal="center" vertical="center" wrapText="1"/>
    </xf>
    <xf numFmtId="0" fontId="15" fillId="15" borderId="0" xfId="1" applyFont="1" applyFill="1" applyAlignment="1">
      <alignment horizontal="left" vertical="top" wrapText="1"/>
    </xf>
    <xf numFmtId="0" fontId="0" fillId="9" borderId="0" xfId="1" applyFont="1" applyFill="1" applyAlignment="1">
      <alignment vertical="top" wrapText="1"/>
    </xf>
    <xf numFmtId="0" fontId="2" fillId="3" borderId="0" xfId="1" applyFont="1" applyFill="1" applyAlignment="1">
      <alignment wrapText="1"/>
    </xf>
  </cellXfs>
  <cellStyles count="2">
    <cellStyle name="Normal" xfId="1" xr:uid="{00000000-0005-0000-0000-000000000000}"/>
    <cellStyle name="Normale" xfId="0" builtinId="0"/>
  </cellStyles>
  <dxfs count="12">
    <dxf>
      <fill>
        <patternFill>
          <bgColor rgb="FFD9EAD3"/>
        </patternFill>
      </fill>
    </dxf>
    <dxf>
      <fill>
        <patternFill>
          <bgColor rgb="FFF4CCCC"/>
        </patternFill>
      </fill>
    </dxf>
    <dxf>
      <fill>
        <patternFill>
          <bgColor rgb="FFD9EAD3"/>
        </patternFill>
      </fill>
    </dxf>
    <dxf>
      <fill>
        <patternFill>
          <bgColor rgb="FFF4CCCC"/>
        </patternFill>
      </fill>
    </dxf>
    <dxf>
      <fill>
        <patternFill>
          <bgColor rgb="FFD9EAD3"/>
        </patternFill>
      </fill>
    </dxf>
    <dxf>
      <fill>
        <patternFill>
          <bgColor rgb="FFF4CCCC"/>
        </patternFill>
      </fill>
    </dxf>
    <dxf>
      <fill>
        <patternFill>
          <bgColor rgb="FFD9EAD3"/>
        </patternFill>
      </fill>
    </dxf>
    <dxf>
      <fill>
        <patternFill>
          <bgColor rgb="FFF4CCCC"/>
        </patternFill>
      </fill>
    </dxf>
    <dxf>
      <fill>
        <patternFill>
          <bgColor rgb="FFD9EAD3"/>
        </patternFill>
      </fill>
    </dxf>
    <dxf>
      <fill>
        <patternFill>
          <bgColor rgb="FFF4CCCC"/>
        </patternFill>
      </fill>
    </dxf>
    <dxf>
      <fill>
        <patternFill>
          <bgColor rgb="FFD9EAD3"/>
        </patternFill>
      </fill>
    </dxf>
    <dxf>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0ee1db0080154b9e"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438150</xdr:colOff>
      <xdr:row>39</xdr:row>
      <xdr:rowOff>114300</xdr:rowOff>
    </xdr:to>
    <xdr:sp macro="" textlink="">
      <xdr:nvSpPr>
        <xdr:cNvPr id="1036" name="Text Box 12" hidden="1">
          <a:extLst>
            <a:ext uri="{FF2B5EF4-FFF2-40B4-BE49-F238E27FC236}">
              <a16:creationId xmlns:a16="http://schemas.microsoft.com/office/drawing/2014/main" id="{2A946D63-A530-44F4-0895-68305BC5302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OpenAI" id="{94797D44-F799-B809-4F32-CB71125673A2}"/>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showGridLines="0" tabSelected="1" topLeftCell="A19" workbookViewId="0">
      <selection activeCell="A24" sqref="A24:H27"/>
    </sheetView>
  </sheetViews>
  <sheetFormatPr defaultRowHeight="15" x14ac:dyDescent="0.25"/>
  <cols>
    <col min="1" max="1" width="28" customWidth="1"/>
    <col min="2" max="2" width="18" customWidth="1"/>
    <col min="3" max="3" width="14" customWidth="1"/>
    <col min="4" max="5" width="18" customWidth="1"/>
    <col min="6" max="6" width="28" customWidth="1"/>
    <col min="7" max="8" width="20" customWidth="1"/>
  </cols>
  <sheetData>
    <row r="1" spans="1:8" ht="24" customHeight="1" x14ac:dyDescent="0.25">
      <c r="A1" s="44" t="str">
        <f>INDEX(Lingue!$B:$D,MATCH("dashboard_title",Lingue!$A:$A,0),MATCH(Input!$B$3,Lingue!$B$1:$D$1,0))</f>
        <v>Sintesi modello iDea</v>
      </c>
      <c r="B1" s="45"/>
      <c r="C1" s="45"/>
      <c r="D1" s="45"/>
      <c r="E1" s="45"/>
      <c r="F1" s="45"/>
      <c r="G1" s="45"/>
      <c r="H1" s="45"/>
    </row>
    <row r="2" spans="1:8" ht="30" customHeight="1" x14ac:dyDescent="0.25">
      <c r="A2" s="51" t="str">
        <f>INDEX(Lingue!$B:$D,MATCH("dashboard_subtitle",Lingue!$A:$A,0),MATCH(Input!$B$3,Lingue!$B$1:$D$1,0))</f>
        <v>Dashboard sintetica. Per cambiare scenario usa il foglio Input. Per spiegazioni semplici consulta Guida e Grafici.</v>
      </c>
      <c r="B2" s="45"/>
      <c r="C2" s="45"/>
      <c r="D2" s="45"/>
      <c r="E2" s="45"/>
      <c r="F2" s="45"/>
      <c r="G2" s="45"/>
      <c r="H2" s="45"/>
    </row>
    <row r="4" spans="1:8" x14ac:dyDescent="0.25">
      <c r="A4" s="49" t="s">
        <v>0</v>
      </c>
      <c r="B4" s="46"/>
      <c r="C4" s="35"/>
      <c r="D4" s="49" t="s">
        <v>1</v>
      </c>
      <c r="E4" s="46"/>
      <c r="F4" s="35"/>
      <c r="G4" s="49" t="s">
        <v>2</v>
      </c>
      <c r="H4" s="35"/>
    </row>
    <row r="5" spans="1:8" x14ac:dyDescent="0.25">
      <c r="A5" s="42">
        <f>Calcoli!B7/1000</f>
        <v>0.2</v>
      </c>
      <c r="B5" s="37"/>
      <c r="C5" s="38"/>
      <c r="D5" s="36">
        <f>Calcoli!B16</f>
        <v>1</v>
      </c>
      <c r="E5" s="37"/>
      <c r="F5" s="38"/>
      <c r="G5" s="42">
        <f>Calcoli!B10/1000</f>
        <v>0.2</v>
      </c>
      <c r="H5" s="38"/>
    </row>
    <row r="6" spans="1:8" x14ac:dyDescent="0.25">
      <c r="A6" s="39"/>
      <c r="B6" s="40"/>
      <c r="C6" s="41"/>
      <c r="D6" s="39"/>
      <c r="E6" s="40"/>
      <c r="F6" s="41"/>
      <c r="G6" s="39"/>
      <c r="H6" s="41"/>
    </row>
    <row r="8" spans="1:8" x14ac:dyDescent="0.25">
      <c r="A8" s="34" t="s">
        <v>3</v>
      </c>
      <c r="B8" s="46"/>
      <c r="C8" s="35"/>
      <c r="D8" s="34" t="s">
        <v>4</v>
      </c>
      <c r="E8" s="46"/>
      <c r="F8" s="35"/>
      <c r="G8" s="34" t="s">
        <v>5</v>
      </c>
      <c r="H8" s="35"/>
    </row>
    <row r="9" spans="1:8" x14ac:dyDescent="0.25">
      <c r="A9" s="43">
        <f>Calcoli!B22</f>
        <v>29.7</v>
      </c>
      <c r="B9" s="37"/>
      <c r="C9" s="38"/>
      <c r="D9" s="43">
        <f>Calcoli!B35</f>
        <v>20.02</v>
      </c>
      <c r="E9" s="37"/>
      <c r="F9" s="38"/>
      <c r="G9" s="50">
        <f>Calcoli!B43</f>
        <v>5772.7999999999993</v>
      </c>
      <c r="H9" s="38"/>
    </row>
    <row r="10" spans="1:8" x14ac:dyDescent="0.25">
      <c r="A10" s="39"/>
      <c r="B10" s="40"/>
      <c r="C10" s="41"/>
      <c r="D10" s="39"/>
      <c r="E10" s="40"/>
      <c r="F10" s="41"/>
      <c r="G10" s="39"/>
      <c r="H10" s="41"/>
    </row>
    <row r="12" spans="1:8" x14ac:dyDescent="0.25">
      <c r="A12" s="34" t="s">
        <v>6</v>
      </c>
      <c r="B12" s="46"/>
      <c r="C12" s="35"/>
      <c r="D12" s="34" t="s">
        <v>7</v>
      </c>
      <c r="E12" s="46"/>
      <c r="F12" s="35"/>
      <c r="G12" s="34" t="s">
        <v>8</v>
      </c>
      <c r="H12" s="35"/>
    </row>
    <row r="13" spans="1:8" x14ac:dyDescent="0.25">
      <c r="A13" s="50">
        <f>Calcoli!B23</f>
        <v>2970</v>
      </c>
      <c r="B13" s="37"/>
      <c r="C13" s="38"/>
      <c r="D13" s="50">
        <f>Calcoli!B39</f>
        <v>2802.7999999999997</v>
      </c>
      <c r="E13" s="37"/>
      <c r="F13" s="38"/>
      <c r="G13" s="50">
        <f>Calcoli!B40</f>
        <v>0</v>
      </c>
      <c r="H13" s="38"/>
    </row>
    <row r="14" spans="1:8" x14ac:dyDescent="0.25">
      <c r="A14" s="39"/>
      <c r="B14" s="40"/>
      <c r="C14" s="41"/>
      <c r="D14" s="39"/>
      <c r="E14" s="40"/>
      <c r="F14" s="41"/>
      <c r="G14" s="39"/>
      <c r="H14" s="41"/>
    </row>
    <row r="16" spans="1:8" x14ac:dyDescent="0.25">
      <c r="A16" s="53" t="s">
        <v>9</v>
      </c>
      <c r="B16" s="45"/>
      <c r="C16" s="45"/>
      <c r="D16" s="45"/>
      <c r="F16" s="53" t="s">
        <v>10</v>
      </c>
      <c r="G16" s="45"/>
      <c r="H16" s="45"/>
    </row>
    <row r="17" spans="1:8" ht="24" customHeight="1" x14ac:dyDescent="0.25">
      <c r="A17" s="21" t="s">
        <v>11</v>
      </c>
      <c r="B17" s="2">
        <f>Input!B5</f>
        <v>20</v>
      </c>
      <c r="C17" s="3" t="s">
        <v>12</v>
      </c>
      <c r="F17" s="1" t="s">
        <v>13</v>
      </c>
      <c r="G17" s="4" t="str">
        <f>Calcoli!G5</f>
        <v>OK</v>
      </c>
    </row>
    <row r="18" spans="1:8" ht="24" customHeight="1" x14ac:dyDescent="0.25">
      <c r="A18" s="21" t="s">
        <v>14</v>
      </c>
      <c r="B18" s="2">
        <f>Input!B6</f>
        <v>20</v>
      </c>
      <c r="C18" s="3" t="s">
        <v>12</v>
      </c>
      <c r="F18" s="1" t="s">
        <v>15</v>
      </c>
      <c r="G18" s="5">
        <f>Calcoli!G6</f>
        <v>0</v>
      </c>
    </row>
    <row r="19" spans="1:8" ht="24" customHeight="1" x14ac:dyDescent="0.25">
      <c r="A19" s="21" t="s">
        <v>16</v>
      </c>
      <c r="B19" s="6">
        <f>Input!B7</f>
        <v>10</v>
      </c>
      <c r="C19" s="3" t="s">
        <v>17</v>
      </c>
      <c r="F19" s="1" t="s">
        <v>18</v>
      </c>
      <c r="G19" s="5">
        <f>Calcoli!G7</f>
        <v>1</v>
      </c>
    </row>
    <row r="20" spans="1:8" ht="24" customHeight="1" x14ac:dyDescent="0.25">
      <c r="A20" s="21" t="s">
        <v>19</v>
      </c>
      <c r="B20" s="6">
        <f>Calcoli!B42</f>
        <v>49.72</v>
      </c>
      <c r="C20" s="3" t="s">
        <v>20</v>
      </c>
      <c r="F20" s="1" t="s">
        <v>21</v>
      </c>
      <c r="G20" s="4" t="str">
        <f>Calcoli!G8</f>
        <v>OK</v>
      </c>
    </row>
    <row r="21" spans="1:8" ht="24" customHeight="1" x14ac:dyDescent="0.25">
      <c r="A21" s="21" t="s">
        <v>22</v>
      </c>
      <c r="B21" s="7">
        <f>Calcoli!B44</f>
        <v>288.64</v>
      </c>
      <c r="C21" s="3" t="s">
        <v>23</v>
      </c>
    </row>
    <row r="22" spans="1:8" ht="24" customHeight="1" x14ac:dyDescent="0.25">
      <c r="A22" s="21" t="s">
        <v>24</v>
      </c>
      <c r="B22" s="7">
        <f>Calcoli!B45</f>
        <v>288.64</v>
      </c>
      <c r="C22" s="3" t="s">
        <v>25</v>
      </c>
    </row>
    <row r="24" spans="1:8" ht="69.95" customHeight="1" x14ac:dyDescent="0.25">
      <c r="A24" s="52" t="str">
        <f>INDEX(Lingue!$B:$D,MATCH("dashboard_note",Lingue!$A:$A,0),MATCH(Input!$B$3,Lingue!$B$1:$D$1,0))</f>
        <v>Suggerimento d'uso: imposta in Input il numero di stringhe, il numero di sistemi iDeA e la batteria 25/40 kWh. Il modello calcola automaticamente la potenza gestita, il recupero MPPT al 11%, la capacità di accumulo, l'arbitraggio di mercato e l'eventuale recupero da congestione/clipping. Se la batteria non basta, il modello riduce in automatico i flussi storage tramite il fattore di fattibilità.</v>
      </c>
      <c r="B24" s="45"/>
      <c r="C24" s="45"/>
      <c r="D24" s="45"/>
      <c r="E24" s="45"/>
      <c r="F24" s="45"/>
      <c r="G24" s="45"/>
      <c r="H24" s="45"/>
    </row>
    <row r="25" spans="1:8" x14ac:dyDescent="0.25">
      <c r="A25" s="45"/>
      <c r="B25" s="45"/>
      <c r="C25" s="45"/>
      <c r="D25" s="45"/>
      <c r="E25" s="45"/>
      <c r="F25" s="45"/>
      <c r="G25" s="45"/>
      <c r="H25" s="45"/>
    </row>
    <row r="26" spans="1:8" x14ac:dyDescent="0.25">
      <c r="A26" s="45"/>
      <c r="B26" s="45"/>
      <c r="C26" s="45"/>
      <c r="D26" s="45"/>
      <c r="E26" s="45"/>
      <c r="F26" s="45"/>
      <c r="G26" s="45"/>
      <c r="H26" s="45"/>
    </row>
    <row r="27" spans="1:8" x14ac:dyDescent="0.25">
      <c r="A27" s="45"/>
      <c r="B27" s="45"/>
      <c r="C27" s="45"/>
      <c r="D27" s="45"/>
      <c r="E27" s="45"/>
      <c r="F27" s="45"/>
      <c r="G27" s="45"/>
      <c r="H27" s="45"/>
    </row>
    <row r="29" spans="1:8" ht="21.95" customHeight="1" x14ac:dyDescent="0.25">
      <c r="A29" s="54" t="str">
        <f>INDEX(Lingue!$B:$D,MATCH("simple_out_title",Lingue!$A:$A,0),MATCH(Input!$B$3,Lingue!$B$1:$D$1,0))</f>
        <v>OUT spiegati in modo semplice</v>
      </c>
      <c r="B29" s="45"/>
      <c r="C29" s="45"/>
      <c r="D29" s="45"/>
      <c r="E29" s="45"/>
      <c r="F29" s="45"/>
      <c r="G29" s="45"/>
      <c r="H29" s="45"/>
    </row>
    <row r="30" spans="1:8" ht="20.100000000000001" customHeight="1" x14ac:dyDescent="0.25">
      <c r="A30" s="48" t="str">
        <f>INDEX(Lingue!$B:$D,MATCH("box1_title",Lingue!$A:$A,0),MATCH(Input!$B$3,Lingue!$B$1:$D$1,0))</f>
        <v>Miglior resa MPPT</v>
      </c>
      <c r="B30" s="46"/>
      <c r="C30" s="46"/>
      <c r="D30" s="35"/>
      <c r="E30" s="48" t="str">
        <f>INDEX(Lingue!$B:$D,MATCH("box2_title",Lingue!$A:$A,0),MATCH(Input!$B$3,Lingue!$B$1:$D$1,0))</f>
        <v>Storage reso</v>
      </c>
      <c r="F30" s="46"/>
      <c r="G30" s="46"/>
      <c r="H30" s="35"/>
    </row>
    <row r="31" spans="1:8" ht="24" customHeight="1" x14ac:dyDescent="0.25">
      <c r="A31" s="47" t="str">
        <f>INDEX(Lingue!$B:$D,MATCH("box1_text",Lingue!$A:$A,0),MATCH(Input!$B$3,Lingue!$B$1:$D$1,0))</f>
        <v>È l'energia extra annua ottenuta perché ogni stringa gestita può lavorare più vicino al proprio punto ottimo, invece di essere trascinata dalle altre stringhe in parallelo.</v>
      </c>
      <c r="B31" s="45"/>
      <c r="C31" s="45"/>
      <c r="D31" s="45"/>
      <c r="E31" s="47" t="str">
        <f>INDEX(Lingue!$B:$D,MATCH("box2_text",Lingue!$A:$A,0),MATCH(Input!$B$3,Lingue!$B$1:$D$1,0))</f>
        <v>È l'energia effettivamente resa in uscita dopo le perdite della batteria. Non coincide con l'energia caricata: rappresenta la quota utile disponibile in scarica.</v>
      </c>
      <c r="F31" s="45"/>
      <c r="G31" s="45"/>
      <c r="H31" s="45"/>
    </row>
    <row r="32" spans="1:8" ht="24" customHeight="1" x14ac:dyDescent="0.25">
      <c r="A32" s="45"/>
      <c r="B32" s="45"/>
      <c r="C32" s="45"/>
      <c r="D32" s="45"/>
      <c r="E32" s="45"/>
      <c r="F32" s="45"/>
      <c r="G32" s="45"/>
      <c r="H32" s="45"/>
    </row>
    <row r="33" spans="1:8" ht="24" customHeight="1" x14ac:dyDescent="0.25">
      <c r="A33" s="45"/>
      <c r="B33" s="45"/>
      <c r="C33" s="45"/>
      <c r="D33" s="45"/>
      <c r="E33" s="45"/>
      <c r="F33" s="45"/>
      <c r="G33" s="45"/>
      <c r="H33" s="45"/>
    </row>
    <row r="34" spans="1:8" ht="20.100000000000001" customHeight="1" x14ac:dyDescent="0.25">
      <c r="A34" s="48" t="str">
        <f>INDEX(Lingue!$B:$D,MATCH("box3_title",Lingue!$A:$A,0),MATCH(Input!$B$3,Lingue!$B$1:$D$1,0))</f>
        <v>Recupero congestioni / clipping</v>
      </c>
      <c r="B34" s="46"/>
      <c r="C34" s="46"/>
      <c r="D34" s="35"/>
      <c r="E34" s="48" t="str">
        <f>INDEX(Lingue!$B:$D,MATCH("box4_title",Lingue!$A:$A,0),MATCH(Input!$B$3,Lingue!$B$1:$D$1,0))</f>
        <v>Valore totale annuo</v>
      </c>
      <c r="F34" s="46"/>
      <c r="G34" s="46"/>
      <c r="H34" s="35"/>
    </row>
    <row r="35" spans="1:8" ht="24" customHeight="1" x14ac:dyDescent="0.25">
      <c r="A35" s="47" t="str">
        <f>INDEX(Lingue!$B:$D,MATCH("box3_text",Lingue!$A:$A,0),MATCH(Input!$B$3,Lingue!$B$1:$D$1,0))</f>
        <v>È l'energia che senza iDea sarebbe limitata, tagliata dal clipping o bloccata da vincoli di rete e che invece viene accumulata e valorizzata più tardi.</v>
      </c>
      <c r="B35" s="45"/>
      <c r="C35" s="45"/>
      <c r="D35" s="45"/>
      <c r="E35" s="47" t="str">
        <f>INDEX(Lingue!$B:$D,MATCH("box4_text",Lingue!$A:$A,0),MATCH(Input!$B$3,Lingue!$B$1:$D$1,0))</f>
        <v>Somma del valore MPPT e del valore storage. È il beneficio economico annuo incrementale stimato rispetto alla configurazione tradizionale.</v>
      </c>
      <c r="F35" s="45"/>
      <c r="G35" s="45"/>
      <c r="H35" s="45"/>
    </row>
    <row r="36" spans="1:8" ht="24" customHeight="1" x14ac:dyDescent="0.25">
      <c r="A36" s="45"/>
      <c r="B36" s="45"/>
      <c r="C36" s="45"/>
      <c r="D36" s="45"/>
      <c r="E36" s="45"/>
      <c r="F36" s="45"/>
      <c r="G36" s="45"/>
      <c r="H36" s="45"/>
    </row>
    <row r="37" spans="1:8" ht="24" customHeight="1" x14ac:dyDescent="0.25">
      <c r="A37" s="45"/>
      <c r="B37" s="45"/>
      <c r="C37" s="45"/>
      <c r="D37" s="45"/>
      <c r="E37" s="45"/>
      <c r="F37" s="45"/>
      <c r="G37" s="45"/>
      <c r="H37" s="45"/>
    </row>
  </sheetData>
  <mergeCells count="32">
    <mergeCell ref="A29:H29"/>
    <mergeCell ref="A5:C6"/>
    <mergeCell ref="E34:H34"/>
    <mergeCell ref="E30:H30"/>
    <mergeCell ref="A13:C14"/>
    <mergeCell ref="D9:F10"/>
    <mergeCell ref="E31:H33"/>
    <mergeCell ref="A35:D37"/>
    <mergeCell ref="A34:D34"/>
    <mergeCell ref="A8:C8"/>
    <mergeCell ref="D4:F4"/>
    <mergeCell ref="A30:D30"/>
    <mergeCell ref="D12:F12"/>
    <mergeCell ref="D8:F8"/>
    <mergeCell ref="A4:C4"/>
    <mergeCell ref="A31:D33"/>
    <mergeCell ref="A24:H27"/>
    <mergeCell ref="A16:D16"/>
    <mergeCell ref="D13:F14"/>
    <mergeCell ref="G4:H4"/>
    <mergeCell ref="G13:H14"/>
    <mergeCell ref="F16:H16"/>
    <mergeCell ref="E35:H37"/>
    <mergeCell ref="G12:H12"/>
    <mergeCell ref="D5:F6"/>
    <mergeCell ref="G5:H6"/>
    <mergeCell ref="A9:C10"/>
    <mergeCell ref="A1:H1"/>
    <mergeCell ref="A12:C12"/>
    <mergeCell ref="G8:H8"/>
    <mergeCell ref="G9:H10"/>
    <mergeCell ref="A2:H2"/>
  </mergeCells>
  <conditionalFormatting sqref="G17">
    <cfRule type="expression" dxfId="11" priority="1">
      <formula>LEFT(G17,10)="ATTENZIONE"</formula>
    </cfRule>
    <cfRule type="expression" dxfId="10" priority="2">
      <formula>G17="OK"</formula>
    </cfRule>
  </conditionalFormatting>
  <conditionalFormatting sqref="G19">
    <cfRule type="expression" dxfId="9" priority="5">
      <formula>G19&lt;1</formula>
    </cfRule>
    <cfRule type="expression" dxfId="8" priority="6">
      <formula>G19&gt;=1</formula>
    </cfRule>
  </conditionalFormatting>
  <conditionalFormatting sqref="G20">
    <cfRule type="expression" dxfId="7" priority="3">
      <formula>LEFT(G20,10)="ATTENZIONE"</formula>
    </cfRule>
    <cfRule type="expression" dxfId="6" priority="4">
      <formula>G20="OK"</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showGridLines="0" topLeftCell="A4" workbookViewId="0">
      <selection activeCell="B17" sqref="B17"/>
    </sheetView>
  </sheetViews>
  <sheetFormatPr defaultRowHeight="15" x14ac:dyDescent="0.25"/>
  <cols>
    <col min="1" max="1" width="44" customWidth="1"/>
    <col min="2" max="2" width="14" customWidth="1"/>
    <col min="3" max="3" width="16" customWidth="1"/>
    <col min="4" max="4" width="44" customWidth="1"/>
  </cols>
  <sheetData>
    <row r="1" spans="1:4" ht="24" customHeight="1" x14ac:dyDescent="0.25">
      <c r="A1" s="44" t="str">
        <f>INDEX(Lingue!$B:$D,MATCH("input_title",Lingue!$A:$A,0),MATCH(Input!$B$3,Lingue!$B$1:$D$1,0))</f>
        <v>Modello di calcolo iDea – impianto FV</v>
      </c>
      <c r="B1" s="45"/>
      <c r="C1" s="45"/>
      <c r="D1" s="45"/>
    </row>
    <row r="2" spans="1:4" ht="30" customHeight="1" x14ac:dyDescent="0.25">
      <c r="A2" s="51" t="str">
        <f>INDEX(Lingue!$B:$D,MATCH("input_subtitle",Lingue!$A:$A,0),MATCH(Input!$B$3,Lingue!$B$1:$D$1,0))</f>
        <v>Modifica solo le celle blu. Ogni sistema iDea gestisce 1 stringa da 10 kWp e può montare 25 o 40 kWh di batteria.</v>
      </c>
      <c r="B2" s="45"/>
      <c r="C2" s="45"/>
      <c r="D2" s="45"/>
    </row>
    <row r="3" spans="1:4" x14ac:dyDescent="0.25">
      <c r="A3" s="22" t="s">
        <v>26</v>
      </c>
      <c r="B3" s="23" t="s">
        <v>27</v>
      </c>
      <c r="C3" s="56" t="str">
        <f>INDEX(Lingue!$B:$D,MATCH("input_lang_note",Lingue!$A:$A,0),MATCH(Input!$B$3,Lingue!$B$1:$D$1,0))</f>
        <v>La lingua selezionata aggiorna Guida, Grafici e le note principali.</v>
      </c>
      <c r="D3" s="45"/>
    </row>
    <row r="4" spans="1:4" x14ac:dyDescent="0.25">
      <c r="A4" s="55" t="str">
        <f>INDEX(Lingue!$B:$D,MATCH("input_sec_dim",Lingue!$A:$A,0),MATCH(Input!$B$3,Lingue!$B$1:$D$1,0))</f>
        <v>1. Dimensionamento iDea</v>
      </c>
      <c r="B4" s="45"/>
      <c r="C4" s="45"/>
      <c r="D4" s="45"/>
    </row>
    <row r="5" spans="1:4" x14ac:dyDescent="0.25">
      <c r="A5" s="8" t="s">
        <v>11</v>
      </c>
      <c r="B5" s="9">
        <v>20</v>
      </c>
      <c r="C5" s="10" t="s">
        <v>12</v>
      </c>
      <c r="D5" s="11" t="s">
        <v>28</v>
      </c>
    </row>
    <row r="6" spans="1:4" x14ac:dyDescent="0.25">
      <c r="A6" s="8" t="s">
        <v>14</v>
      </c>
      <c r="B6" s="9">
        <v>20</v>
      </c>
      <c r="C6" s="10" t="s">
        <v>12</v>
      </c>
      <c r="D6" s="11" t="s">
        <v>29</v>
      </c>
    </row>
    <row r="7" spans="1:4" x14ac:dyDescent="0.25">
      <c r="A7" s="8" t="s">
        <v>16</v>
      </c>
      <c r="B7" s="12">
        <v>10</v>
      </c>
      <c r="C7" s="10" t="s">
        <v>17</v>
      </c>
      <c r="D7" s="11" t="s">
        <v>30</v>
      </c>
    </row>
    <row r="8" spans="1:4" x14ac:dyDescent="0.25">
      <c r="A8" s="8" t="s">
        <v>31</v>
      </c>
      <c r="B8" s="13">
        <v>10</v>
      </c>
      <c r="C8" s="10" t="s">
        <v>32</v>
      </c>
      <c r="D8" s="11" t="s">
        <v>33</v>
      </c>
    </row>
    <row r="9" spans="1:4" x14ac:dyDescent="0.25">
      <c r="A9" s="8" t="s">
        <v>34</v>
      </c>
      <c r="B9" s="13">
        <v>10</v>
      </c>
      <c r="C9" s="10" t="s">
        <v>32</v>
      </c>
      <c r="D9" s="11" t="s">
        <v>33</v>
      </c>
    </row>
    <row r="10" spans="1:4" x14ac:dyDescent="0.25">
      <c r="A10" s="8" t="s">
        <v>35</v>
      </c>
      <c r="B10" s="14">
        <v>0.9</v>
      </c>
      <c r="C10" s="10" t="s">
        <v>36</v>
      </c>
      <c r="D10" s="11" t="s">
        <v>37</v>
      </c>
    </row>
    <row r="11" spans="1:4" x14ac:dyDescent="0.25">
      <c r="A11" s="8" t="s">
        <v>38</v>
      </c>
      <c r="B11" s="9">
        <v>250</v>
      </c>
      <c r="C11" s="10" t="s">
        <v>39</v>
      </c>
      <c r="D11" s="11" t="s">
        <v>40</v>
      </c>
    </row>
    <row r="12" spans="1:4" x14ac:dyDescent="0.25">
      <c r="A12" s="8" t="s">
        <v>41</v>
      </c>
      <c r="B12" s="14">
        <v>0.91</v>
      </c>
      <c r="C12" s="10" t="s">
        <v>36</v>
      </c>
      <c r="D12" s="11" t="s">
        <v>42</v>
      </c>
    </row>
    <row r="14" spans="1:4" x14ac:dyDescent="0.25">
      <c r="A14" s="55" t="str">
        <f>INDEX(Lingue!$B:$D,MATCH("input_sec_prod",Lingue!$A:$A,0),MATCH(Input!$B$3,Lingue!$B$1:$D$1,0))</f>
        <v>2. Produzione e recupero MPPT</v>
      </c>
      <c r="B14" s="45"/>
      <c r="C14" s="45"/>
      <c r="D14" s="45"/>
    </row>
    <row r="15" spans="1:4" x14ac:dyDescent="0.25">
      <c r="A15" s="8" t="s">
        <v>43</v>
      </c>
      <c r="B15" s="12">
        <v>1350</v>
      </c>
      <c r="C15" s="10" t="s">
        <v>44</v>
      </c>
      <c r="D15" s="11" t="s">
        <v>45</v>
      </c>
    </row>
    <row r="16" spans="1:4" x14ac:dyDescent="0.25">
      <c r="A16" s="8" t="s">
        <v>46</v>
      </c>
      <c r="B16" s="14">
        <v>0.11</v>
      </c>
      <c r="C16" s="10" t="s">
        <v>36</v>
      </c>
      <c r="D16" s="11" t="s">
        <v>47</v>
      </c>
    </row>
    <row r="17" spans="1:4" ht="30" x14ac:dyDescent="0.25">
      <c r="A17" s="8" t="s">
        <v>48</v>
      </c>
      <c r="B17" s="12">
        <v>100</v>
      </c>
      <c r="C17" s="10" t="s">
        <v>49</v>
      </c>
      <c r="D17" s="11" t="s">
        <v>50</v>
      </c>
    </row>
    <row r="19" spans="1:4" x14ac:dyDescent="0.25">
      <c r="A19" s="55" t="str">
        <f>INDEX(Lingue!$B:$D,MATCH("input_sec_market",Lingue!$A:$A,0),MATCH(Input!$B$3,Lingue!$B$1:$D$1,0))</f>
        <v>3. Scenario mercato e recuperi</v>
      </c>
      <c r="B19" s="45"/>
      <c r="C19" s="45"/>
      <c r="D19" s="45"/>
    </row>
    <row r="20" spans="1:4" ht="30" x14ac:dyDescent="0.25">
      <c r="A20" s="8" t="s">
        <v>51</v>
      </c>
      <c r="B20" s="12">
        <v>200</v>
      </c>
      <c r="C20" s="10" t="s">
        <v>52</v>
      </c>
      <c r="D20" s="11" t="s">
        <v>53</v>
      </c>
    </row>
    <row r="21" spans="1:4" ht="30" x14ac:dyDescent="0.25">
      <c r="A21" s="8" t="s">
        <v>54</v>
      </c>
      <c r="B21" s="14">
        <v>0.55000000000000004</v>
      </c>
      <c r="C21" s="10" t="s">
        <v>55</v>
      </c>
      <c r="D21" s="11" t="s">
        <v>56</v>
      </c>
    </row>
    <row r="22" spans="1:4" ht="30" x14ac:dyDescent="0.25">
      <c r="A22" s="8" t="s">
        <v>57</v>
      </c>
      <c r="B22" s="12">
        <v>0</v>
      </c>
      <c r="C22" s="10" t="s">
        <v>49</v>
      </c>
      <c r="D22" s="11" t="s">
        <v>58</v>
      </c>
    </row>
    <row r="23" spans="1:4" x14ac:dyDescent="0.25">
      <c r="A23" s="8" t="s">
        <v>59</v>
      </c>
      <c r="B23" s="12">
        <v>140</v>
      </c>
      <c r="C23" s="10" t="s">
        <v>49</v>
      </c>
      <c r="D23" s="11" t="s">
        <v>60</v>
      </c>
    </row>
    <row r="24" spans="1:4" x14ac:dyDescent="0.25">
      <c r="A24" s="8" t="s">
        <v>61</v>
      </c>
      <c r="B24" s="12">
        <v>0</v>
      </c>
      <c r="C24" s="10" t="s">
        <v>62</v>
      </c>
      <c r="D24" s="11" t="s">
        <v>63</v>
      </c>
    </row>
    <row r="25" spans="1:4" ht="30" x14ac:dyDescent="0.25">
      <c r="A25" s="8" t="s">
        <v>64</v>
      </c>
      <c r="B25" s="12">
        <v>0</v>
      </c>
      <c r="C25" s="10" t="s">
        <v>20</v>
      </c>
      <c r="D25" s="11" t="s">
        <v>65</v>
      </c>
    </row>
    <row r="27" spans="1:4" x14ac:dyDescent="0.25">
      <c r="A27" s="55" t="str">
        <f>INDEX(Lingue!$B:$D,MATCH("input_sec_notes",Lingue!$A:$A,0),MATCH(Input!$B$3,Lingue!$B$1:$D$1,0))</f>
        <v>4. Note operative</v>
      </c>
      <c r="B27" s="45"/>
      <c r="C27" s="45"/>
      <c r="D27" s="45"/>
    </row>
    <row r="28" spans="1:4" ht="72" customHeight="1" x14ac:dyDescent="0.25">
      <c r="A28" s="52" t="str">
        <f>INDEX(Lingue!$B:$D,MATCH("input_logic_note",Lingue!$A:$A,0),MATCH(Input!$B$3,Lingue!$B$1:$D$1,0))</f>
        <v>Logica del modello:
• il recupero MPPT si applica solo alla potenza FV gestita da iDeA;
• l'arbitraggio di mercato usa l'energia disponibile nelle ore a prezzo basso;
• il recupero da congestione/clipping entra come energia annua addizionale da stoccare;
• arbitraggio e clipping/congestione vengono ridotti automaticamente se il throughput annuo della batteria non è sufficiente.</v>
      </c>
      <c r="B28" s="45"/>
      <c r="C28" s="45"/>
      <c r="D28" s="45"/>
    </row>
    <row r="29" spans="1:4" x14ac:dyDescent="0.25">
      <c r="A29" s="45"/>
      <c r="B29" s="45"/>
      <c r="C29" s="45"/>
      <c r="D29" s="45"/>
    </row>
    <row r="30" spans="1:4" x14ac:dyDescent="0.25">
      <c r="A30" s="45"/>
      <c r="B30" s="45"/>
      <c r="C30" s="45"/>
      <c r="D30" s="45"/>
    </row>
    <row r="31" spans="1:4" x14ac:dyDescent="0.25">
      <c r="A31" s="45"/>
      <c r="B31" s="45"/>
      <c r="C31" s="45"/>
      <c r="D31" s="45"/>
    </row>
  </sheetData>
  <mergeCells count="8">
    <mergeCell ref="A1:D1"/>
    <mergeCell ref="A27:D27"/>
    <mergeCell ref="A4:D4"/>
    <mergeCell ref="A28:D31"/>
    <mergeCell ref="A19:D19"/>
    <mergeCell ref="A2:D2"/>
    <mergeCell ref="C3:D3"/>
    <mergeCell ref="A14:D14"/>
  </mergeCells>
  <dataValidations count="4">
    <dataValidation type="list" error="Inserisci solo 25 o 40 kWh." sqref="B7" xr:uid="{00000000-0002-0000-0100-000000000000}">
      <formula1>"25,40"</formula1>
    </dataValidation>
    <dataValidation type="whole" operator="greaterThanOrEqual" sqref="B5:B6 B11" xr:uid="{00000000-0002-0000-0100-000001000000}">
      <formula1>0</formula1>
    </dataValidation>
    <dataValidation type="decimal" sqref="B10 B12 B16 B21" xr:uid="{00000000-0002-0000-0100-000004000000}">
      <formula1>0</formula1>
      <formula2>1</formula2>
    </dataValidation>
    <dataValidation type="list" errorTitle="Lingua non valida" error="Seleziona solo Italiano, English o Українська." sqref="B3" xr:uid="{00000000-0002-0000-0100-000008000000}">
      <formula1>"Italiano,English,Українська"</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0"/>
  <sheetViews>
    <sheetView showGridLines="0" workbookViewId="0">
      <selection sqref="A1:N1"/>
    </sheetView>
  </sheetViews>
  <sheetFormatPr defaultRowHeight="15" x14ac:dyDescent="0.25"/>
  <cols>
    <col min="1" max="14" width="14" customWidth="1"/>
  </cols>
  <sheetData>
    <row r="1" spans="1:14" ht="18.75" x14ac:dyDescent="0.25">
      <c r="A1" s="59" t="str">
        <f>INDEX(Lingue!$B:$D,MATCH("charts_title",Lingue!$A:$A,0),MATCH(Input!$B$3,Lingue!$B$1:$D$1,0))</f>
        <v>Grafici di confronto prima / dopo</v>
      </c>
      <c r="B1" s="45"/>
      <c r="C1" s="45"/>
      <c r="D1" s="45"/>
      <c r="E1" s="45"/>
      <c r="F1" s="45"/>
      <c r="G1" s="45"/>
      <c r="H1" s="45"/>
      <c r="I1" s="45"/>
      <c r="J1" s="45"/>
      <c r="K1" s="45"/>
      <c r="L1" s="45"/>
      <c r="M1" s="45"/>
      <c r="N1" s="45"/>
    </row>
    <row r="2" spans="1:14" ht="32.1" customHeight="1" x14ac:dyDescent="0.25">
      <c r="A2" s="51" t="str">
        <f>INDEX(Lingue!$B:$D,MATCH("charts_subtitle",Lingue!$A:$A,0),MATCH(Input!$B$3,Lingue!$B$1:$D$1,0))</f>
        <v>I grafici aiutano a leggere il modello anche a chi non è tecnico. La lingua segue la selezione in Input!B3.</v>
      </c>
      <c r="B2" s="45"/>
      <c r="C2" s="45"/>
      <c r="D2" s="45"/>
      <c r="E2" s="45"/>
      <c r="F2" s="45"/>
      <c r="G2" s="45"/>
      <c r="H2" s="45"/>
      <c r="I2" s="45"/>
      <c r="J2" s="45"/>
      <c r="K2" s="45"/>
      <c r="L2" s="45"/>
      <c r="M2" s="45"/>
      <c r="N2" s="45"/>
    </row>
    <row r="3" spans="1:14" x14ac:dyDescent="0.25">
      <c r="A3" s="26"/>
      <c r="B3" s="26"/>
      <c r="C3" s="26"/>
      <c r="D3" s="26"/>
      <c r="E3" s="26"/>
      <c r="F3" s="26"/>
      <c r="G3" s="26"/>
      <c r="H3" s="26"/>
      <c r="I3" s="26"/>
      <c r="J3" s="26"/>
      <c r="K3" s="26"/>
      <c r="L3" s="26"/>
      <c r="M3" s="26"/>
      <c r="N3" s="26"/>
    </row>
    <row r="4" spans="1:14" x14ac:dyDescent="0.25">
      <c r="A4" s="54" t="str">
        <f>INDEX(Lingue!$B:$D,MATCH("chart1_header",Lingue!$A:$A,0),MATCH(Input!$B$3,Lingue!$B$1:$D$1,0))</f>
        <v>Energia sulle stringhe gestite: prima / dopo MPPT</v>
      </c>
      <c r="B4" s="45"/>
      <c r="C4" s="45"/>
      <c r="D4" s="45"/>
      <c r="E4" s="45"/>
      <c r="F4" s="45"/>
      <c r="G4" s="26"/>
      <c r="H4" s="26"/>
      <c r="I4" s="54" t="str">
        <f>INDEX(Lingue!$B:$D,MATCH("chart2_header",Lingue!$A:$A,0),MATCH(Input!$B$3,Lingue!$B$1:$D$1,0))</f>
        <v>Valore economico dei flussi influenzati da iDea</v>
      </c>
      <c r="J4" s="45"/>
      <c r="K4" s="45"/>
      <c r="L4" s="45"/>
      <c r="M4" s="45"/>
      <c r="N4" s="45"/>
    </row>
    <row r="5" spans="1:14" x14ac:dyDescent="0.25">
      <c r="A5" s="26"/>
      <c r="B5" s="26"/>
      <c r="C5" s="27" t="s">
        <v>20</v>
      </c>
      <c r="D5" s="26"/>
      <c r="E5" s="26"/>
      <c r="F5" s="26"/>
      <c r="G5" s="26"/>
      <c r="H5" s="26"/>
      <c r="I5" s="26"/>
      <c r="J5" s="26"/>
      <c r="K5" s="27" t="s">
        <v>66</v>
      </c>
      <c r="L5" s="26"/>
      <c r="M5" s="26"/>
      <c r="N5" s="26"/>
    </row>
    <row r="6" spans="1:14" ht="21.95" customHeight="1" x14ac:dyDescent="0.25">
      <c r="A6" s="28" t="str">
        <f>DatiGrafici!A1</f>
        <v>Prima</v>
      </c>
      <c r="B6" s="29">
        <f>DatiGrafici!B1</f>
        <v>270</v>
      </c>
      <c r="C6" s="57" t="str">
        <f>REPT("█",ROUND(B6/MAX($B$6:$B$7)*30,0))</f>
        <v>███████████████████████████</v>
      </c>
      <c r="D6" s="58"/>
      <c r="E6" s="58"/>
      <c r="F6" s="58"/>
      <c r="G6" s="26"/>
      <c r="H6" s="26"/>
      <c r="I6" s="28" t="str">
        <f>DatiGrafici!D1</f>
        <v>Prima</v>
      </c>
      <c r="J6" s="30">
        <f>DatiGrafici!E1</f>
        <v>0</v>
      </c>
      <c r="K6" s="57" t="str">
        <f>REPT("█",ROUND(J6/MAX($J$6:$J$7)*30,0))</f>
        <v/>
      </c>
      <c r="L6" s="58"/>
      <c r="M6" s="58"/>
      <c r="N6" s="58"/>
    </row>
    <row r="7" spans="1:14" ht="21.95" customHeight="1" x14ac:dyDescent="0.25">
      <c r="A7" s="28" t="str">
        <f>DatiGrafici!A2</f>
        <v>Dopo</v>
      </c>
      <c r="B7" s="29">
        <f>DatiGrafici!B2</f>
        <v>299.7</v>
      </c>
      <c r="C7" s="57" t="str">
        <f>REPT("█",ROUND(B7/MAX($B$6:$B$7)*30,0))</f>
        <v>██████████████████████████████</v>
      </c>
      <c r="D7" s="58"/>
      <c r="E7" s="58"/>
      <c r="F7" s="58"/>
      <c r="G7" s="26"/>
      <c r="H7" s="26"/>
      <c r="I7" s="28" t="str">
        <f>DatiGrafici!D2</f>
        <v>Dopo</v>
      </c>
      <c r="J7" s="30">
        <f>DatiGrafici!E2</f>
        <v>5772.7999999999993</v>
      </c>
      <c r="K7" s="57" t="str">
        <f>REPT("█",ROUND(J7/MAX($J$6:$J$7)*30,0))</f>
        <v>██████████████████████████████</v>
      </c>
      <c r="L7" s="58"/>
      <c r="M7" s="58"/>
      <c r="N7" s="58"/>
    </row>
    <row r="8" spans="1:14" x14ac:dyDescent="0.25">
      <c r="A8" s="26"/>
      <c r="B8" s="26"/>
      <c r="C8" s="26"/>
      <c r="D8" s="26"/>
      <c r="E8" s="26"/>
      <c r="F8" s="26"/>
      <c r="G8" s="26"/>
      <c r="H8" s="26"/>
      <c r="I8" s="26"/>
      <c r="J8" s="26"/>
      <c r="K8" s="26"/>
      <c r="L8" s="26"/>
      <c r="M8" s="26"/>
      <c r="N8" s="26"/>
    </row>
    <row r="9" spans="1:14" x14ac:dyDescent="0.25">
      <c r="A9" s="26"/>
      <c r="B9" s="26"/>
      <c r="C9" s="26"/>
      <c r="D9" s="26"/>
      <c r="E9" s="26"/>
      <c r="F9" s="26"/>
      <c r="G9" s="26"/>
      <c r="H9" s="26"/>
      <c r="I9" s="26"/>
      <c r="J9" s="26"/>
      <c r="K9" s="26"/>
      <c r="L9" s="26"/>
      <c r="M9" s="26"/>
      <c r="N9" s="26"/>
    </row>
    <row r="10" spans="1:14" x14ac:dyDescent="0.25">
      <c r="A10" s="26"/>
      <c r="B10" s="26"/>
      <c r="C10" s="26"/>
      <c r="D10" s="26"/>
      <c r="E10" s="26"/>
      <c r="F10" s="26"/>
      <c r="G10" s="26"/>
      <c r="H10" s="26"/>
      <c r="I10" s="26"/>
      <c r="J10" s="26"/>
      <c r="K10" s="26"/>
      <c r="L10" s="26"/>
      <c r="M10" s="26"/>
      <c r="N10" s="26"/>
    </row>
    <row r="11" spans="1:14" x14ac:dyDescent="0.25">
      <c r="A11" s="26"/>
      <c r="B11" s="26"/>
      <c r="C11" s="26"/>
      <c r="D11" s="26"/>
      <c r="E11" s="26"/>
      <c r="F11" s="26"/>
      <c r="G11" s="26"/>
      <c r="H11" s="26"/>
      <c r="I11" s="26"/>
      <c r="J11" s="26"/>
      <c r="K11" s="26"/>
      <c r="L11" s="26"/>
      <c r="M11" s="26"/>
      <c r="N11" s="26"/>
    </row>
    <row r="12" spans="1:14" x14ac:dyDescent="0.25">
      <c r="A12" s="26"/>
      <c r="B12" s="26"/>
      <c r="C12" s="26"/>
      <c r="D12" s="26"/>
      <c r="E12" s="26"/>
      <c r="F12" s="26"/>
      <c r="G12" s="26"/>
      <c r="H12" s="26"/>
      <c r="I12" s="26"/>
      <c r="J12" s="26"/>
      <c r="K12" s="26"/>
      <c r="L12" s="26"/>
      <c r="M12" s="26"/>
      <c r="N12" s="26"/>
    </row>
    <row r="13" spans="1:14" x14ac:dyDescent="0.25">
      <c r="A13" s="26"/>
      <c r="B13" s="26"/>
      <c r="C13" s="26"/>
      <c r="D13" s="26"/>
      <c r="E13" s="26"/>
      <c r="F13" s="26"/>
      <c r="G13" s="26"/>
      <c r="H13" s="26"/>
      <c r="I13" s="26"/>
      <c r="J13" s="26"/>
      <c r="K13" s="26"/>
      <c r="L13" s="26"/>
      <c r="M13" s="26"/>
      <c r="N13" s="26"/>
    </row>
    <row r="14" spans="1:14" x14ac:dyDescent="0.25">
      <c r="A14" s="26"/>
      <c r="B14" s="26"/>
      <c r="C14" s="26"/>
      <c r="D14" s="26"/>
      <c r="E14" s="26"/>
      <c r="F14" s="26"/>
      <c r="G14" s="26"/>
      <c r="H14" s="26"/>
      <c r="I14" s="26"/>
      <c r="J14" s="26"/>
      <c r="K14" s="26"/>
      <c r="L14" s="26"/>
      <c r="M14" s="26"/>
      <c r="N14" s="26"/>
    </row>
    <row r="15" spans="1:14" x14ac:dyDescent="0.25">
      <c r="A15" s="26"/>
      <c r="B15" s="26"/>
      <c r="C15" s="26"/>
      <c r="D15" s="26"/>
      <c r="E15" s="26"/>
      <c r="F15" s="26"/>
      <c r="G15" s="26"/>
      <c r="H15" s="26"/>
      <c r="I15" s="26"/>
      <c r="J15" s="26"/>
      <c r="K15" s="26"/>
      <c r="L15" s="26"/>
      <c r="M15" s="26"/>
      <c r="N15" s="26"/>
    </row>
    <row r="16" spans="1:14" x14ac:dyDescent="0.25">
      <c r="A16" s="26"/>
      <c r="B16" s="26"/>
      <c r="C16" s="26"/>
      <c r="D16" s="26"/>
      <c r="E16" s="26"/>
      <c r="F16" s="26"/>
      <c r="G16" s="26"/>
      <c r="H16" s="26"/>
      <c r="I16" s="26"/>
      <c r="J16" s="26"/>
      <c r="K16" s="26"/>
      <c r="L16" s="26"/>
      <c r="M16" s="26"/>
      <c r="N16" s="26"/>
    </row>
    <row r="17" spans="1:14" x14ac:dyDescent="0.25">
      <c r="A17" s="26"/>
      <c r="B17" s="26"/>
      <c r="C17" s="26"/>
      <c r="D17" s="26"/>
      <c r="E17" s="26"/>
      <c r="F17" s="26"/>
      <c r="G17" s="26"/>
      <c r="H17" s="26"/>
      <c r="I17" s="26"/>
      <c r="J17" s="26"/>
      <c r="K17" s="26"/>
      <c r="L17" s="26"/>
      <c r="M17" s="26"/>
      <c r="N17" s="26"/>
    </row>
    <row r="18" spans="1:14" x14ac:dyDescent="0.25">
      <c r="A18" s="26"/>
      <c r="B18" s="26"/>
      <c r="C18" s="26"/>
      <c r="D18" s="26"/>
      <c r="E18" s="26"/>
      <c r="F18" s="26"/>
      <c r="G18" s="26"/>
      <c r="H18" s="26"/>
      <c r="I18" s="26"/>
      <c r="J18" s="26"/>
      <c r="K18" s="26"/>
      <c r="L18" s="26"/>
      <c r="M18" s="26"/>
      <c r="N18" s="26"/>
    </row>
    <row r="19" spans="1:14" x14ac:dyDescent="0.25">
      <c r="A19" s="26"/>
      <c r="B19" s="26"/>
      <c r="C19" s="26"/>
      <c r="D19" s="26"/>
      <c r="E19" s="26"/>
      <c r="F19" s="26"/>
      <c r="G19" s="26"/>
      <c r="H19" s="26"/>
      <c r="I19" s="26"/>
      <c r="J19" s="26"/>
      <c r="K19" s="26"/>
      <c r="L19" s="26"/>
      <c r="M19" s="26"/>
      <c r="N19" s="26"/>
    </row>
    <row r="20" spans="1:14" x14ac:dyDescent="0.25">
      <c r="A20" s="26"/>
      <c r="B20" s="26"/>
      <c r="C20" s="26"/>
      <c r="D20" s="26"/>
      <c r="E20" s="26"/>
      <c r="F20" s="26"/>
      <c r="G20" s="26"/>
      <c r="H20" s="26"/>
      <c r="I20" s="26"/>
      <c r="J20" s="26"/>
      <c r="K20" s="26"/>
      <c r="L20" s="26"/>
      <c r="M20" s="26"/>
      <c r="N20" s="26"/>
    </row>
    <row r="21" spans="1:14" x14ac:dyDescent="0.25">
      <c r="A21" s="26"/>
      <c r="B21" s="26"/>
      <c r="C21" s="26"/>
      <c r="D21" s="26"/>
      <c r="E21" s="26"/>
      <c r="F21" s="26"/>
      <c r="G21" s="26"/>
      <c r="H21" s="26"/>
      <c r="I21" s="26"/>
      <c r="J21" s="26"/>
      <c r="K21" s="26"/>
      <c r="L21" s="26"/>
      <c r="M21" s="26"/>
      <c r="N21" s="26"/>
    </row>
    <row r="22" spans="1:14" x14ac:dyDescent="0.25">
      <c r="A22" s="54" t="str">
        <f>INDEX(Lingue!$B:$D,MATCH("chart3_header",Lingue!$A:$A,0),MATCH(Input!$B$3,Lingue!$B$1:$D$1,0))</f>
        <v>Composizione del valore incrementale</v>
      </c>
      <c r="B22" s="45"/>
      <c r="C22" s="45"/>
      <c r="D22" s="45"/>
      <c r="E22" s="45"/>
      <c r="F22" s="45"/>
      <c r="G22" s="45"/>
      <c r="H22" s="45"/>
      <c r="I22" s="45"/>
      <c r="J22" s="45"/>
      <c r="K22" s="45"/>
      <c r="L22" s="45"/>
      <c r="M22" s="45"/>
      <c r="N22" s="45"/>
    </row>
    <row r="23" spans="1:14" x14ac:dyDescent="0.25">
      <c r="A23" s="26"/>
      <c r="B23" s="26"/>
      <c r="C23" s="26"/>
      <c r="D23" s="26"/>
      <c r="E23" s="26"/>
      <c r="F23" s="26"/>
      <c r="G23" s="26"/>
      <c r="H23" s="26"/>
      <c r="I23" s="26"/>
      <c r="J23" s="26"/>
      <c r="K23" s="26"/>
      <c r="L23" s="26"/>
      <c r="M23" s="26"/>
      <c r="N23" s="26"/>
    </row>
    <row r="24" spans="1:14" ht="21.95" customHeight="1" x14ac:dyDescent="0.25">
      <c r="A24" s="28" t="str">
        <f>DatiGrafici!G1</f>
        <v>Valore MPPT</v>
      </c>
      <c r="B24" s="30">
        <f>DatiGrafici!H1</f>
        <v>2970</v>
      </c>
      <c r="C24" s="57" t="str">
        <f>REPT("█",ROUND(B24/MAX($B$24:$B$26)*55,0))</f>
        <v>███████████████████████████████████████████████████████</v>
      </c>
      <c r="D24" s="58"/>
      <c r="E24" s="58"/>
      <c r="F24" s="58"/>
      <c r="G24" s="58"/>
      <c r="H24" s="58"/>
      <c r="I24" s="58"/>
      <c r="J24" s="58"/>
      <c r="K24" s="58"/>
      <c r="L24" s="58"/>
      <c r="M24" s="58"/>
      <c r="N24" s="58"/>
    </row>
    <row r="25" spans="1:14" ht="21.95" customHeight="1" x14ac:dyDescent="0.25">
      <c r="A25" s="28" t="str">
        <f>DatiGrafici!G2</f>
        <v>Valore arbitraggio</v>
      </c>
      <c r="B25" s="30">
        <f>DatiGrafici!H2</f>
        <v>2802.7999999999997</v>
      </c>
      <c r="C25" s="57" t="str">
        <f>REPT("█",ROUND(B25/MAX($B$24:$B$26)*55,0))</f>
        <v>████████████████████████████████████████████████████</v>
      </c>
      <c r="D25" s="58"/>
      <c r="E25" s="58"/>
      <c r="F25" s="58"/>
      <c r="G25" s="58"/>
      <c r="H25" s="58"/>
      <c r="I25" s="58"/>
      <c r="J25" s="58"/>
      <c r="K25" s="58"/>
      <c r="L25" s="58"/>
      <c r="M25" s="58"/>
      <c r="N25" s="58"/>
    </row>
    <row r="26" spans="1:14" ht="21.95" customHeight="1" x14ac:dyDescent="0.25">
      <c r="A26" s="28" t="str">
        <f>DatiGrafici!G3</f>
        <v>Valore congestioni / clipping</v>
      </c>
      <c r="B26" s="30">
        <f>DatiGrafici!H3</f>
        <v>0</v>
      </c>
      <c r="C26" s="57" t="str">
        <f>REPT("█",ROUND(B26/MAX($B$24:$B$26)*55,0))</f>
        <v/>
      </c>
      <c r="D26" s="58"/>
      <c r="E26" s="58"/>
      <c r="F26" s="58"/>
      <c r="G26" s="58"/>
      <c r="H26" s="58"/>
      <c r="I26" s="58"/>
      <c r="J26" s="58"/>
      <c r="K26" s="58"/>
      <c r="L26" s="58"/>
      <c r="M26" s="58"/>
      <c r="N26" s="58"/>
    </row>
    <row r="27" spans="1:14" x14ac:dyDescent="0.25">
      <c r="A27" s="26"/>
      <c r="B27" s="26"/>
      <c r="C27" s="26"/>
      <c r="D27" s="26"/>
      <c r="E27" s="26"/>
      <c r="F27" s="26"/>
      <c r="G27" s="26"/>
      <c r="H27" s="26"/>
      <c r="I27" s="26"/>
      <c r="J27" s="26"/>
      <c r="K27" s="26"/>
      <c r="L27" s="26"/>
      <c r="M27" s="26"/>
      <c r="N27" s="26"/>
    </row>
    <row r="28" spans="1:14" x14ac:dyDescent="0.25">
      <c r="A28" s="26"/>
      <c r="B28" s="26"/>
      <c r="C28" s="26"/>
      <c r="D28" s="26"/>
      <c r="E28" s="26"/>
      <c r="F28" s="26"/>
      <c r="G28" s="26"/>
      <c r="H28" s="26"/>
      <c r="I28" s="26"/>
      <c r="J28" s="26"/>
      <c r="K28" s="26"/>
      <c r="L28" s="26"/>
      <c r="M28" s="26"/>
      <c r="N28" s="26"/>
    </row>
    <row r="29" spans="1:14" x14ac:dyDescent="0.25">
      <c r="A29" s="26"/>
      <c r="B29" s="26"/>
      <c r="C29" s="26"/>
      <c r="D29" s="26"/>
      <c r="E29" s="26"/>
      <c r="F29" s="26"/>
      <c r="G29" s="26"/>
      <c r="H29" s="26"/>
      <c r="I29" s="26"/>
      <c r="J29" s="26"/>
      <c r="K29" s="26"/>
      <c r="L29" s="26"/>
      <c r="M29" s="26"/>
      <c r="N29" s="26"/>
    </row>
    <row r="30" spans="1:14" x14ac:dyDescent="0.25">
      <c r="A30" s="26"/>
      <c r="B30" s="26"/>
      <c r="C30" s="26"/>
      <c r="D30" s="26"/>
      <c r="E30" s="26"/>
      <c r="F30" s="26"/>
      <c r="G30" s="26"/>
      <c r="H30" s="26"/>
      <c r="I30" s="26"/>
      <c r="J30" s="26"/>
      <c r="K30" s="26"/>
      <c r="L30" s="26"/>
      <c r="M30" s="26"/>
      <c r="N30" s="26"/>
    </row>
    <row r="31" spans="1:14" x14ac:dyDescent="0.25">
      <c r="A31" s="26"/>
      <c r="B31" s="26"/>
      <c r="C31" s="26"/>
      <c r="D31" s="26"/>
      <c r="E31" s="26"/>
      <c r="F31" s="26"/>
      <c r="G31" s="26"/>
      <c r="H31" s="26"/>
      <c r="I31" s="26"/>
      <c r="J31" s="26"/>
      <c r="K31" s="26"/>
      <c r="L31" s="26"/>
      <c r="M31" s="26"/>
      <c r="N31" s="26"/>
    </row>
    <row r="32" spans="1:14" x14ac:dyDescent="0.25">
      <c r="A32" s="26"/>
      <c r="B32" s="26"/>
      <c r="C32" s="26"/>
      <c r="D32" s="26"/>
      <c r="E32" s="26"/>
      <c r="F32" s="26"/>
      <c r="G32" s="26"/>
      <c r="H32" s="26"/>
      <c r="I32" s="26"/>
      <c r="J32" s="26"/>
      <c r="K32" s="26"/>
      <c r="L32" s="26"/>
      <c r="M32" s="26"/>
      <c r="N32" s="26"/>
    </row>
    <row r="33" spans="1:14" x14ac:dyDescent="0.25">
      <c r="A33" s="26"/>
      <c r="B33" s="26"/>
      <c r="C33" s="26"/>
      <c r="D33" s="26"/>
      <c r="E33" s="26"/>
      <c r="F33" s="26"/>
      <c r="G33" s="26"/>
      <c r="H33" s="26"/>
      <c r="I33" s="26"/>
      <c r="J33" s="26"/>
      <c r="K33" s="26"/>
      <c r="L33" s="26"/>
      <c r="M33" s="26"/>
      <c r="N33" s="26"/>
    </row>
    <row r="34" spans="1:14" x14ac:dyDescent="0.25">
      <c r="A34" s="26"/>
      <c r="B34" s="26"/>
      <c r="C34" s="26"/>
      <c r="D34" s="26"/>
      <c r="E34" s="26"/>
      <c r="F34" s="26"/>
      <c r="G34" s="26"/>
      <c r="H34" s="26"/>
      <c r="I34" s="26"/>
      <c r="J34" s="26"/>
      <c r="K34" s="26"/>
      <c r="L34" s="26"/>
      <c r="M34" s="26"/>
      <c r="N34" s="26"/>
    </row>
    <row r="35" spans="1:14" x14ac:dyDescent="0.25">
      <c r="A35" s="26"/>
      <c r="B35" s="26"/>
      <c r="C35" s="26"/>
      <c r="D35" s="26"/>
      <c r="E35" s="26"/>
      <c r="F35" s="26"/>
      <c r="G35" s="26"/>
      <c r="H35" s="26"/>
      <c r="I35" s="26"/>
      <c r="J35" s="26"/>
      <c r="K35" s="26"/>
      <c r="L35" s="26"/>
      <c r="M35" s="26"/>
      <c r="N35" s="26"/>
    </row>
    <row r="36" spans="1:14" ht="24" customHeight="1" x14ac:dyDescent="0.25">
      <c r="A36" s="47" t="str">
        <f>INDEX(Lingue!$B:$D,MATCH("charts_note",Lingue!$A:$A,0),MATCH(Input!$B$3,Lingue!$B$1:$D$1,0))</f>
        <v>Grafico 1 confronta l'energia annua delle stringhe gestite prima e dopo il solo recupero MPPT. Grafico 2 confronta il valore economico dei flussi influenzati da iDea prima e dopo l'ottimizzazione. 'Prima' = configurazione tradizionale; 'Dopo' = configurazione con iDea.</v>
      </c>
      <c r="B36" s="45"/>
      <c r="C36" s="45"/>
      <c r="D36" s="45"/>
      <c r="E36" s="45"/>
      <c r="F36" s="45"/>
      <c r="G36" s="45"/>
      <c r="H36" s="45"/>
      <c r="I36" s="45"/>
      <c r="J36" s="45"/>
      <c r="K36" s="45"/>
      <c r="L36" s="45"/>
      <c r="M36" s="45"/>
      <c r="N36" s="45"/>
    </row>
    <row r="37" spans="1:14" ht="24" customHeight="1" x14ac:dyDescent="0.25">
      <c r="A37" s="45"/>
      <c r="B37" s="45"/>
      <c r="C37" s="45"/>
      <c r="D37" s="45"/>
      <c r="E37" s="45"/>
      <c r="F37" s="45"/>
      <c r="G37" s="45"/>
      <c r="H37" s="45"/>
      <c r="I37" s="45"/>
      <c r="J37" s="45"/>
      <c r="K37" s="45"/>
      <c r="L37" s="45"/>
      <c r="M37" s="45"/>
      <c r="N37" s="45"/>
    </row>
    <row r="38" spans="1:14" ht="24" customHeight="1" x14ac:dyDescent="0.25">
      <c r="A38" s="45"/>
      <c r="B38" s="45"/>
      <c r="C38" s="45"/>
      <c r="D38" s="45"/>
      <c r="E38" s="45"/>
      <c r="F38" s="45"/>
      <c r="G38" s="45"/>
      <c r="H38" s="45"/>
      <c r="I38" s="45"/>
      <c r="J38" s="45"/>
      <c r="K38" s="45"/>
      <c r="L38" s="45"/>
      <c r="M38" s="45"/>
      <c r="N38" s="45"/>
    </row>
    <row r="39" spans="1:14" ht="24" customHeight="1" x14ac:dyDescent="0.25">
      <c r="A39" s="45"/>
      <c r="B39" s="45"/>
      <c r="C39" s="45"/>
      <c r="D39" s="45"/>
      <c r="E39" s="45"/>
      <c r="F39" s="45"/>
      <c r="G39" s="45"/>
      <c r="H39" s="45"/>
      <c r="I39" s="45"/>
      <c r="J39" s="45"/>
      <c r="K39" s="45"/>
      <c r="L39" s="45"/>
      <c r="M39" s="45"/>
      <c r="N39" s="45"/>
    </row>
    <row r="40" spans="1:14" x14ac:dyDescent="0.25">
      <c r="A40" s="26"/>
      <c r="B40" s="26"/>
      <c r="C40" s="26"/>
      <c r="D40" s="26"/>
      <c r="E40" s="26"/>
      <c r="F40" s="26"/>
      <c r="G40" s="26"/>
      <c r="H40" s="26"/>
      <c r="I40" s="26"/>
      <c r="J40" s="26"/>
      <c r="K40" s="26"/>
      <c r="L40" s="26"/>
      <c r="M40" s="26"/>
      <c r="N40" s="26"/>
    </row>
  </sheetData>
  <mergeCells count="13">
    <mergeCell ref="A1:N1"/>
    <mergeCell ref="A2:N2"/>
    <mergeCell ref="C6:F6"/>
    <mergeCell ref="C7:F7"/>
    <mergeCell ref="K7:N7"/>
    <mergeCell ref="A4:F4"/>
    <mergeCell ref="I4:N4"/>
    <mergeCell ref="K6:N6"/>
    <mergeCell ref="A36:N39"/>
    <mergeCell ref="C24:N24"/>
    <mergeCell ref="A22:N22"/>
    <mergeCell ref="C25:N25"/>
    <mergeCell ref="C26:N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7"/>
  <sheetViews>
    <sheetView showGridLines="0" workbookViewId="0">
      <selection sqref="A1:I1"/>
    </sheetView>
  </sheetViews>
  <sheetFormatPr defaultRowHeight="15" x14ac:dyDescent="0.25"/>
  <cols>
    <col min="1" max="1" width="12" customWidth="1"/>
    <col min="2" max="2" width="30" customWidth="1"/>
    <col min="3" max="3" width="16" customWidth="1"/>
    <col min="4" max="9" width="18" customWidth="1"/>
  </cols>
  <sheetData>
    <row r="1" spans="1:9" ht="18.75" x14ac:dyDescent="0.25">
      <c r="A1" s="59" t="str">
        <f>INDEX(Lingue!$B:$D,MATCH("guide_title",Lingue!$A:$A,0),MATCH(Input!$B$3,Lingue!$B$1:$D$1,0))</f>
        <v>Manuale rapido di utilizzo</v>
      </c>
      <c r="B1" s="45"/>
      <c r="C1" s="45"/>
      <c r="D1" s="45"/>
      <c r="E1" s="45"/>
      <c r="F1" s="45"/>
      <c r="G1" s="45"/>
      <c r="H1" s="45"/>
      <c r="I1" s="45"/>
    </row>
    <row r="2" spans="1:9" ht="33.950000000000003" customHeight="1" x14ac:dyDescent="0.25">
      <c r="A2" s="51" t="str">
        <f>INDEX(Lingue!$B:$D,MATCH("guide_subtitle",Lingue!$A:$A,0),MATCH(Input!$B$3,Lingue!$B$1:$D$1,0))</f>
        <v>Usa il menu lingua in Input!B3. Modifica solo le celle blu nel foglio Input: formule, dashboard e grafici si aggiornano automaticamente.</v>
      </c>
      <c r="B2" s="45"/>
      <c r="C2" s="45"/>
      <c r="D2" s="45"/>
      <c r="E2" s="45"/>
      <c r="F2" s="45"/>
      <c r="G2" s="45"/>
      <c r="H2" s="45"/>
      <c r="I2" s="45"/>
    </row>
    <row r="4" spans="1:9" x14ac:dyDescent="0.25">
      <c r="A4" s="54" t="str">
        <f>INDEX(Lingue!$B:$D,MATCH("guide_sec_inputs",Lingue!$A:$A,0),MATCH(Input!$B$3,Lingue!$B$1:$D$1,0))</f>
        <v>1. Dati da modificare</v>
      </c>
      <c r="B4" s="45"/>
      <c r="C4" s="45"/>
      <c r="D4" s="45"/>
      <c r="E4" s="45"/>
      <c r="F4" s="45"/>
      <c r="G4" s="45"/>
      <c r="H4" s="45"/>
      <c r="I4" s="45"/>
    </row>
    <row r="5" spans="1:9" x14ac:dyDescent="0.25">
      <c r="A5" s="24" t="str">
        <f>INDEX(Lingue!$B:$D,MATCH("hdr_cell",Lingue!$A:$A,0),MATCH(Input!$B$3,Lingue!$B$1:$D$1,0))</f>
        <v>Cella</v>
      </c>
      <c r="B5" s="24" t="str">
        <f>INDEX(Lingue!$B:$D,MATCH("hdr_param",Lingue!$A:$A,0),MATCH(Input!$B$3,Lingue!$B$1:$D$1,0))</f>
        <v>Parametro</v>
      </c>
      <c r="C5" s="24" t="str">
        <f>INDEX(Lingue!$B:$D,MATCH("hdr_current",Lingue!$A:$A,0),MATCH(Input!$B$3,Lingue!$B$1:$D$1,0))</f>
        <v>Valore attuale</v>
      </c>
      <c r="D5" s="61" t="str">
        <f>INDEX(Lingue!$B:$D,MATCH("hdr_why",Lingue!$A:$A,0),MATCH(Input!$B$3,Lingue!$B$1:$D$1,0))</f>
        <v>Cosa modificare e perché</v>
      </c>
      <c r="E5" s="46"/>
      <c r="F5" s="46"/>
      <c r="G5" s="46"/>
      <c r="H5" s="46"/>
      <c r="I5" s="35"/>
    </row>
    <row r="6" spans="1:9" ht="33.950000000000003" customHeight="1" x14ac:dyDescent="0.25">
      <c r="A6" s="25" t="s">
        <v>67</v>
      </c>
      <c r="B6" s="25" t="str">
        <f>INDEX(Lingue!$B:$D,MATCH("p_B5",Lingue!$A:$A,0),MATCH(Input!$B$3,Lingue!$B$1:$D$1,0))</f>
        <v>Numero stringhe FV [n]</v>
      </c>
      <c r="C6" s="31">
        <f>Input!B5</f>
        <v>20</v>
      </c>
      <c r="D6" s="60" t="str">
        <f>INDEX(Lingue!$B:$D,MATCH("e_B5",Lingue!$A:$A,0),MATCH(Input!$B$3,Lingue!$B$1:$D$1,0))</f>
        <v>Cambia questo dato se la taglia dell'impianto è diversa. Il modello assume 10 kWp per stringa: quindi più stringhe = più potenza totale.</v>
      </c>
      <c r="E6" s="58"/>
      <c r="F6" s="58"/>
      <c r="G6" s="58"/>
      <c r="H6" s="58"/>
      <c r="I6" s="58"/>
    </row>
    <row r="7" spans="1:9" ht="33.950000000000003" customHeight="1" x14ac:dyDescent="0.25">
      <c r="A7" s="25" t="s">
        <v>68</v>
      </c>
      <c r="B7" s="25" t="str">
        <f>INDEX(Lingue!$B:$D,MATCH("p_B6",Lingue!$A:$A,0),MATCH(Input!$B$3,Lingue!$B$1:$D$1,0))</f>
        <v>Numero sistemi iDeA [n]</v>
      </c>
      <c r="C7" s="31">
        <f>Input!B6</f>
        <v>20</v>
      </c>
      <c r="D7" s="60" t="str">
        <f>INDEX(Lingue!$B:$D,MATCH("e_B6",Lingue!$A:$A,0),MATCH(Input!$B$3,Lingue!$B$1:$D$1,0))</f>
        <v>Cambia questo dato se non tutte le stringhe sono gestite da iDeA. 1 sistema iDeA controlla 1 stringa.</v>
      </c>
      <c r="E7" s="58"/>
      <c r="F7" s="58"/>
      <c r="G7" s="58"/>
      <c r="H7" s="58"/>
      <c r="I7" s="58"/>
    </row>
    <row r="8" spans="1:9" ht="33.950000000000003" customHeight="1" x14ac:dyDescent="0.25">
      <c r="A8" s="25" t="s">
        <v>69</v>
      </c>
      <c r="B8" s="25" t="str">
        <f>INDEX(Lingue!$B:$D,MATCH("p_B7",Lingue!$A:$A,0),MATCH(Input!$B$3,Lingue!$B$1:$D$1,0))</f>
        <v>Batteria per sistema iDeA [kWh]</v>
      </c>
      <c r="C8" s="32">
        <f>Input!B7</f>
        <v>10</v>
      </c>
      <c r="D8" s="60" t="str">
        <f>INDEX(Lingue!$B:$D,MATCH("e_B7",Lingue!$A:$A,0),MATCH(Input!$B$3,Lingue!$B$1:$D$1,0))</f>
        <v>Scegli 25 o 40 kWh in base alla configurazione reale. Questo cambia la capacità totale disponibile per accumulo e recuperi.</v>
      </c>
      <c r="E8" s="58"/>
      <c r="F8" s="58"/>
      <c r="G8" s="58"/>
      <c r="H8" s="58"/>
      <c r="I8" s="58"/>
    </row>
    <row r="9" spans="1:9" ht="33.950000000000003" customHeight="1" x14ac:dyDescent="0.25">
      <c r="A9" s="25" t="s">
        <v>70</v>
      </c>
      <c r="B9" s="25" t="str">
        <f>INDEX(Lingue!$B:$D,MATCH("p_B10",Lingue!$A:$A,0),MATCH(Input!$B$3,Lingue!$B$1:$D$1,0))</f>
        <v>Quota batteria utilizzabile [%]</v>
      </c>
      <c r="C9" s="33">
        <f>Input!B10</f>
        <v>0.9</v>
      </c>
      <c r="D9" s="60" t="str">
        <f>INDEX(Lingue!$B:$D,MATCH("e_B10",Lingue!$A:$A,0),MATCH(Input!$B$3,Lingue!$B$1:$D$1,0))</f>
        <v>Cambia questo dato se la finestra utile della batteria è diversa (per esempio per limiti di SOC o strategia commerciale).</v>
      </c>
      <c r="E9" s="58"/>
      <c r="F9" s="58"/>
      <c r="G9" s="58"/>
      <c r="H9" s="58"/>
      <c r="I9" s="58"/>
    </row>
    <row r="10" spans="1:9" ht="33.950000000000003" customHeight="1" x14ac:dyDescent="0.25">
      <c r="A10" s="25" t="s">
        <v>71</v>
      </c>
      <c r="B10" s="25" t="str">
        <f>INDEX(Lingue!$B:$D,MATCH("p_B11",Lingue!$A:$A,0),MATCH(Input!$B$3,Lingue!$B$1:$D$1,0))</f>
        <v>Cicli annui efficaci batteria [n/anno]</v>
      </c>
      <c r="C10" s="31">
        <f>Input!B11</f>
        <v>250</v>
      </c>
      <c r="D10" s="60" t="str">
        <f>INDEX(Lingue!$B:$D,MATCH("e_B11",Lingue!$A:$A,0),MATCH(Input!$B$3,Lingue!$B$1:$D$1,0))</f>
        <v>Cambia questo dato se prevedi un uso più o meno intenso della batteria durante l'anno.</v>
      </c>
      <c r="E10" s="58"/>
      <c r="F10" s="58"/>
      <c r="G10" s="58"/>
      <c r="H10" s="58"/>
      <c r="I10" s="58"/>
    </row>
    <row r="11" spans="1:9" ht="33.950000000000003" customHeight="1" x14ac:dyDescent="0.25">
      <c r="A11" s="25" t="s">
        <v>72</v>
      </c>
      <c r="B11" s="25" t="str">
        <f>INDEX(Lingue!$B:$D,MATCH("p_B12",Lingue!$A:$A,0),MATCH(Input!$B$3,Lingue!$B$1:$D$1,0))</f>
        <v>Rendimento round-trip batteria [%]</v>
      </c>
      <c r="C11" s="33">
        <f>Input!B12</f>
        <v>0.91</v>
      </c>
      <c r="D11" s="60" t="str">
        <f>INDEX(Lingue!$B:$D,MATCH("e_B12",Lingue!$A:$A,0),MATCH(Input!$B$3,Lingue!$B$1:$D$1,0))</f>
        <v>Aggiorna questo dato se la batteria, l'elettronica o i test di prestazione mostrano un'efficienza diversa. Influisce direttamente sull'energia resa.</v>
      </c>
      <c r="E11" s="58"/>
      <c r="F11" s="58"/>
      <c r="G11" s="58"/>
      <c r="H11" s="58"/>
      <c r="I11" s="58"/>
    </row>
    <row r="12" spans="1:9" ht="33.950000000000003" customHeight="1" x14ac:dyDescent="0.25">
      <c r="A12" s="25" t="s">
        <v>73</v>
      </c>
      <c r="B12" s="25" t="str">
        <f>INDEX(Lingue!$B:$D,MATCH("p_B15",Lingue!$A:$A,0),MATCH(Input!$B$3,Lingue!$B$1:$D$1,0))</f>
        <v>Producibilità specifica [kWh/kWp/anno]</v>
      </c>
      <c r="C12" s="32">
        <f>Input!B15</f>
        <v>1350</v>
      </c>
      <c r="D12" s="60" t="str">
        <f>INDEX(Lingue!$B:$D,MATCH("e_B15",Lingue!$A:$A,0),MATCH(Input!$B$3,Lingue!$B$1:$D$1,0))</f>
        <v>È il dato da cambiare quando il modello viene usato in un sito con irraggiamento diverso. Se esci dal mercato italiano, questo è il primo parametro da aggiornare.</v>
      </c>
      <c r="E12" s="58"/>
      <c r="F12" s="58"/>
      <c r="G12" s="58"/>
      <c r="H12" s="58"/>
      <c r="I12" s="58"/>
    </row>
    <row r="13" spans="1:9" ht="33.950000000000003" customHeight="1" x14ac:dyDescent="0.25">
      <c r="A13" s="25" t="s">
        <v>74</v>
      </c>
      <c r="B13" s="25" t="str">
        <f>INDEX(Lingue!$B:$D,MATCH("p_B16",Lingue!$A:$A,0),MATCH(Input!$B$3,Lingue!$B$1:$D$1,0))</f>
        <v>Recupero MPPT [%]</v>
      </c>
      <c r="C13" s="33">
        <f>Input!B16</f>
        <v>0.11</v>
      </c>
      <c r="D13" s="60" t="str">
        <f>INDEX(Lingue!$B:$D,MATCH("e_B16",Lingue!$A:$A,0),MATCH(Input!$B$3,Lingue!$B$1:$D$1,0))</f>
        <v>L'assunzione corrente è 5%. Cambia questo dato solo se hai misure di campo o casi validati che dimostrano un valore diverso.</v>
      </c>
      <c r="E13" s="58"/>
      <c r="F13" s="58"/>
      <c r="G13" s="58"/>
      <c r="H13" s="58"/>
      <c r="I13" s="58"/>
    </row>
    <row r="14" spans="1:9" ht="33.950000000000003" customHeight="1" x14ac:dyDescent="0.25">
      <c r="A14" s="25" t="s">
        <v>75</v>
      </c>
      <c r="B14" s="25" t="str">
        <f>INDEX(Lingue!$B:$D,MATCH("p_B17",Lingue!$A:$A,0),MATCH(Input!$B$3,Lingue!$B$1:$D$1,0))</f>
        <v>Valore energia standard MPPT [€/MWh]</v>
      </c>
      <c r="C14" s="32">
        <f>Input!B17</f>
        <v>100</v>
      </c>
      <c r="D14" s="60" t="str">
        <f>INDEX(Lingue!$B:$D,MATCH("e_B17",Lingue!$A:$A,0),MATCH(Input!$B$3,Lingue!$B$1:$D$1,0))</f>
        <v>Serve a valorizzare l'energia extra dovuta al solo MPPT. Aggiorna questo prezzo se cambia il benchmark economico del tuo mercato.</v>
      </c>
      <c r="E14" s="58"/>
      <c r="F14" s="58"/>
      <c r="G14" s="58"/>
      <c r="H14" s="58"/>
      <c r="I14" s="58"/>
    </row>
    <row r="15" spans="1:9" ht="33.950000000000003" customHeight="1" x14ac:dyDescent="0.25">
      <c r="A15" s="25" t="s">
        <v>76</v>
      </c>
      <c r="B15" s="25" t="str">
        <f>INDEX(Lingue!$B:$D,MATCH("p_B20",Lingue!$A:$A,0),MATCH(Input!$B$3,Lingue!$B$1:$D$1,0))</f>
        <v>Ore annue a prezzo basso o nullo [h/anno]</v>
      </c>
      <c r="C15" s="32">
        <f>Input!B20</f>
        <v>200</v>
      </c>
      <c r="D15" s="60" t="str">
        <f>INDEX(Lingue!$B:$D,MATCH("e_B20",Lingue!$A:$A,0),MATCH(Input!$B$3,Lingue!$B$1:$D$1,0))</f>
        <v>Aggiorna questo dato con il profilo reale del mercato locale. È uno dei parametri chiave quando il modello viene usato fuori Italia.</v>
      </c>
      <c r="E15" s="58"/>
      <c r="F15" s="58"/>
      <c r="G15" s="58"/>
      <c r="H15" s="58"/>
      <c r="I15" s="58"/>
    </row>
    <row r="16" spans="1:9" ht="33.950000000000003" customHeight="1" x14ac:dyDescent="0.25">
      <c r="A16" s="25" t="s">
        <v>77</v>
      </c>
      <c r="B16" s="25" t="str">
        <f>INDEX(Lingue!$B:$D,MATCH("p_B21",Lingue!$A:$A,0),MATCH(Input!$B$3,Lingue!$B$1:$D$1,0))</f>
        <v>Fattore di carico medio nelle ore basse [%]</v>
      </c>
      <c r="C16" s="33">
        <f>Input!B21</f>
        <v>0.55000000000000004</v>
      </c>
      <c r="D16" s="60" t="str">
        <f>INDEX(Lingue!$B:$D,MATCH("e_B21",Lingue!$A:$A,0),MATCH(Input!$B$3,Lingue!$B$1:$D$1,0))</f>
        <v>Adatta questo dato al profilo atteso di produzione nelle ore considerate. Se il sito produce meno o più del 55%, cambia il valore.</v>
      </c>
      <c r="E16" s="58"/>
      <c r="F16" s="58"/>
      <c r="G16" s="58"/>
      <c r="H16" s="58"/>
      <c r="I16" s="58"/>
    </row>
    <row r="17" spans="1:9" ht="33.950000000000003" customHeight="1" x14ac:dyDescent="0.25">
      <c r="A17" s="25" t="s">
        <v>78</v>
      </c>
      <c r="B17" s="25" t="str">
        <f>INDEX(Lingue!$B:$D,MATCH("p_B22",Lingue!$A:$A,0),MATCH(Input!$B$3,Lingue!$B$1:$D$1,0))</f>
        <v>Prezzo energia nelle ore basse [€/MWh]</v>
      </c>
      <c r="C17" s="32">
        <f>Input!B22</f>
        <v>0</v>
      </c>
      <c r="D17" s="60" t="str">
        <f>INDEX(Lingue!$B:$D,MATCH("e_B22",Lingue!$A:$A,0),MATCH(Input!$B$3,Lingue!$B$1:$D$1,0))</f>
        <v>Inserisci il valore locale dell'energia nelle ore di carica. In alcuni mercati può essere zero, basso o anche negativo.</v>
      </c>
      <c r="E17" s="58"/>
      <c r="F17" s="58"/>
      <c r="G17" s="58"/>
      <c r="H17" s="58"/>
      <c r="I17" s="58"/>
    </row>
    <row r="18" spans="1:9" ht="33.950000000000003" customHeight="1" x14ac:dyDescent="0.25">
      <c r="A18" s="25" t="s">
        <v>79</v>
      </c>
      <c r="B18" s="25" t="str">
        <f>INDEX(Lingue!$B:$D,MATCH("p_B23",Lingue!$A:$A,0),MATCH(Input!$B$3,Lingue!$B$1:$D$1,0))</f>
        <v>Prezzo energia in scarica/sera [€/MWh]</v>
      </c>
      <c r="C18" s="32">
        <f>Input!B23</f>
        <v>140</v>
      </c>
      <c r="D18" s="60" t="str">
        <f>INDEX(Lingue!$B:$D,MATCH("e_B23",Lingue!$A:$A,0),MATCH(Input!$B$3,Lingue!$B$1:$D$1,0))</f>
        <v>Inserisci il prezzo locale delle ore in cui l'energia spostata viene valorizzata. È il principale driver del valore arbitraggio.</v>
      </c>
      <c r="E18" s="58"/>
      <c r="F18" s="58"/>
      <c r="G18" s="58"/>
      <c r="H18" s="58"/>
      <c r="I18" s="58"/>
    </row>
    <row r="19" spans="1:9" ht="33.950000000000003" customHeight="1" x14ac:dyDescent="0.25">
      <c r="A19" s="25" t="s">
        <v>80</v>
      </c>
      <c r="B19" s="25" t="str">
        <f>INDEX(Lingue!$B:$D,MATCH("p_B24",Lingue!$A:$A,0),MATCH(Input!$B$3,Lingue!$B$1:$D$1,0))</f>
        <v>Costo degrado batteria [€/MWh]</v>
      </c>
      <c r="C19" s="32">
        <f>Input!B24</f>
        <v>0</v>
      </c>
      <c r="D19" s="60" t="str">
        <f>INDEX(Lingue!$B:$D,MATCH("e_B24",Lingue!$A:$A,0),MATCH(Input!$B$3,Lingue!$B$1:$D$1,0))</f>
        <v>Usa questo dato per rendere il business case più prudente. Se non vuoi considerare il degrado, lascia 0.</v>
      </c>
      <c r="E19" s="58"/>
      <c r="F19" s="58"/>
      <c r="G19" s="58"/>
      <c r="H19" s="58"/>
      <c r="I19" s="58"/>
    </row>
    <row r="20" spans="1:9" ht="33.950000000000003" customHeight="1" x14ac:dyDescent="0.25">
      <c r="A20" s="25" t="s">
        <v>81</v>
      </c>
      <c r="B20" s="25" t="str">
        <f>INDEX(Lingue!$B:$D,MATCH("p_B25",Lingue!$A:$A,0),MATCH(Input!$B$3,Lingue!$B$1:$D$1,0))</f>
        <v>Energia recuperabile da congestione/clipping [MWh/anno]</v>
      </c>
      <c r="C20" s="32">
        <f>Input!B25</f>
        <v>0</v>
      </c>
      <c r="D20" s="60" t="str">
        <f>INDEX(Lingue!$B:$D,MATCH("e_B25",Lingue!$A:$A,0),MATCH(Input!$B$3,Lingue!$B$1:$D$1,0))</f>
        <v>Stima qui l'energia che senza iDea verrebbe persa, limitata o tagliata. Serve per valorizzare il beneficio di accumulo nelle congestioni di rete.</v>
      </c>
      <c r="E20" s="58"/>
      <c r="F20" s="58"/>
      <c r="G20" s="58"/>
      <c r="H20" s="58"/>
      <c r="I20" s="58"/>
    </row>
    <row r="22" spans="1:9" x14ac:dyDescent="0.25">
      <c r="A22" s="54" t="str">
        <f>INDEX(Lingue!$B:$D,MATCH("guide_sec_outputs",Lingue!$A:$A,0),MATCH(Input!$B$3,Lingue!$B$1:$D$1,0))</f>
        <v>2. OUT spiegati in modo semplice</v>
      </c>
      <c r="B22" s="45"/>
      <c r="C22" s="45"/>
      <c r="D22" s="45"/>
      <c r="E22" s="45"/>
      <c r="F22" s="45"/>
      <c r="G22" s="45"/>
      <c r="H22" s="45"/>
      <c r="I22" s="45"/>
    </row>
    <row r="23" spans="1:9" ht="25.5" x14ac:dyDescent="0.25">
      <c r="A23" s="24" t="str">
        <f>INDEX(Lingue!$B:$D,MATCH("hdr_itlabel",Lingue!$A:$A,0),MATCH(Input!$B$3,Lingue!$B$1:$D$1,0))</f>
        <v>Etichetta dashboard</v>
      </c>
      <c r="B23" s="24" t="str">
        <f>INDEX(Lingue!$B:$D,MATCH("hdr_translation",Lingue!$A:$A,0),MATCH(Input!$B$3,Lingue!$B$1:$D$1,0))</f>
        <v>Traduzione</v>
      </c>
      <c r="C23" s="61" t="str">
        <f>INDEX(Lingue!$B:$D,MATCH("hdr_explanation",Lingue!$A:$A,0),MATCH(Input!$B$3,Lingue!$B$1:$D$1,0))</f>
        <v>Significato pratico</v>
      </c>
      <c r="D23" s="46"/>
      <c r="E23" s="46"/>
      <c r="F23" s="46"/>
      <c r="G23" s="46"/>
      <c r="H23" s="46"/>
      <c r="I23" s="35"/>
    </row>
    <row r="24" spans="1:9" ht="33.950000000000003" customHeight="1" x14ac:dyDescent="0.25">
      <c r="A24" s="25" t="s">
        <v>3</v>
      </c>
      <c r="B24" s="25" t="str">
        <f>INDEX(Lingue!$B:$D,MATCH("o_mppt_mwh",Lingue!$A:$A,0),MATCH(Input!$B$3,Lingue!$B$1:$D$1,0))</f>
        <v>Recupero MPPT [MWh/anno]</v>
      </c>
      <c r="C24" s="60" t="str">
        <f>INDEX(Lingue!$B:$D,MATCH("x_mppt_mwh",Lingue!$A:$A,0),MATCH(Input!$B$3,Lingue!$B$1:$D$1,0))</f>
        <v>Energia extra annua prodotta grazie al miglior inseguimento del punto di massima potenza sulle stringhe gestite da iDeA.</v>
      </c>
      <c r="D24" s="58"/>
      <c r="E24" s="58"/>
      <c r="F24" s="58"/>
      <c r="G24" s="58"/>
      <c r="H24" s="58"/>
      <c r="I24" s="58"/>
    </row>
    <row r="25" spans="1:9" ht="33.950000000000003" customHeight="1" x14ac:dyDescent="0.25">
      <c r="A25" s="25" t="s">
        <v>6</v>
      </c>
      <c r="B25" s="25" t="str">
        <f>INDEX(Lingue!$B:$D,MATCH("o_mppt_val",Lingue!$A:$A,0),MATCH(Input!$B$3,Lingue!$B$1:$D$1,0))</f>
        <v>Valore MPPT [€ / anno]</v>
      </c>
      <c r="C25" s="60" t="str">
        <f>INDEX(Lingue!$B:$D,MATCH("x_mppt_val",Lingue!$A:$A,0),MATCH(Input!$B$3,Lingue!$B$1:$D$1,0))</f>
        <v>Valore economico del solo extra rendimento MPPT, calcolato con il prezzo standard scelto nell'Input.</v>
      </c>
      <c r="D25" s="58"/>
      <c r="E25" s="58"/>
      <c r="F25" s="58"/>
      <c r="G25" s="58"/>
      <c r="H25" s="58"/>
      <c r="I25" s="58"/>
    </row>
    <row r="26" spans="1:9" ht="33.950000000000003" customHeight="1" x14ac:dyDescent="0.25">
      <c r="A26" s="25" t="s">
        <v>4</v>
      </c>
      <c r="B26" s="25" t="str">
        <f>INDEX(Lingue!$B:$D,MATCH("o_storage_mwh",Lingue!$A:$A,0),MATCH(Input!$B$3,Lingue!$B$1:$D$1,0))</f>
        <v>Storage reso [MWh/anno]</v>
      </c>
      <c r="C26" s="60" t="str">
        <f>INDEX(Lingue!$B:$D,MATCH("x_storage_mwh",Lingue!$A:$A,0),MATCH(Input!$B$3,Lingue!$B$1:$D$1,0))</f>
        <v>Energia effettivamente resa dopo le perdite di batteria, sommando arbitraggio e recupero congestione/clipping.</v>
      </c>
      <c r="D26" s="58"/>
      <c r="E26" s="58"/>
      <c r="F26" s="58"/>
      <c r="G26" s="58"/>
      <c r="H26" s="58"/>
      <c r="I26" s="58"/>
    </row>
    <row r="27" spans="1:9" ht="33.950000000000003" customHeight="1" x14ac:dyDescent="0.25">
      <c r="A27" s="25" t="s">
        <v>7</v>
      </c>
      <c r="B27" s="25" t="str">
        <f>INDEX(Lingue!$B:$D,MATCH("o_arb_val",Lingue!$A:$A,0),MATCH(Input!$B$3,Lingue!$B$1:$D$1,0))</f>
        <v>Valore arbitraggio [€ / anno]</v>
      </c>
      <c r="C27" s="60" t="str">
        <f>INDEX(Lingue!$B:$D,MATCH("x_arb_val",Lingue!$A:$A,0),MATCH(Input!$B$3,Lingue!$B$1:$D$1,0))</f>
        <v>Valore extra ottenuto caricando quando il prezzo è basso e scaricando quando il prezzo è più alto.</v>
      </c>
      <c r="D27" s="58"/>
      <c r="E27" s="58"/>
      <c r="F27" s="58"/>
      <c r="G27" s="58"/>
      <c r="H27" s="58"/>
      <c r="I27" s="58"/>
    </row>
    <row r="28" spans="1:9" ht="33.950000000000003" customHeight="1" x14ac:dyDescent="0.25">
      <c r="A28" s="25" t="s">
        <v>8</v>
      </c>
      <c r="B28" s="25" t="str">
        <f>INDEX(Lingue!$B:$D,MATCH("o_cong_val",Lingue!$A:$A,0),MATCH(Input!$B$3,Lingue!$B$1:$D$1,0))</f>
        <v>Valore congest./clip [€ / anno]</v>
      </c>
      <c r="C28" s="60" t="str">
        <f>INDEX(Lingue!$B:$D,MATCH("x_cong_val",Lingue!$A:$A,0),MATCH(Input!$B$3,Lingue!$B$1:$D$1,0))</f>
        <v>Valore dell'energia che senza iDea sarebbe stata persa per congestioni di rete o clipping dell'impianto.</v>
      </c>
      <c r="D28" s="58"/>
      <c r="E28" s="58"/>
      <c r="F28" s="58"/>
      <c r="G28" s="58"/>
      <c r="H28" s="58"/>
      <c r="I28" s="58"/>
    </row>
    <row r="29" spans="1:9" ht="33.950000000000003" customHeight="1" x14ac:dyDescent="0.25">
      <c r="A29" s="25" t="s">
        <v>5</v>
      </c>
      <c r="B29" s="25" t="str">
        <f>INDEX(Lingue!$B:$D,MATCH("o_total_val",Lingue!$A:$A,0),MATCH(Input!$B$3,Lingue!$B$1:$D$1,0))</f>
        <v>Valore totale [€ / anno]</v>
      </c>
      <c r="C29" s="60" t="str">
        <f>INDEX(Lingue!$B:$D,MATCH("x_total_val",Lingue!$A:$A,0),MATCH(Input!$B$3,Lingue!$B$1:$D$1,0))</f>
        <v>Beneficio economico annuo incrementale complessivo stimato dal modello rispetto alla configurazione tradizionale.</v>
      </c>
      <c r="D29" s="58"/>
      <c r="E29" s="58"/>
      <c r="F29" s="58"/>
      <c r="G29" s="58"/>
      <c r="H29" s="58"/>
      <c r="I29" s="58"/>
    </row>
    <row r="30" spans="1:9" ht="33.950000000000003" customHeight="1" x14ac:dyDescent="0.25">
      <c r="A30" s="25" t="s">
        <v>18</v>
      </c>
      <c r="B30" s="25" t="str">
        <f>INDEX(Lingue!$B:$D,MATCH("o_feas",Lingue!$A:$A,0),MATCH(Input!$B$3,Lingue!$B$1:$D$1,0))</f>
        <v>Fattibilità throughput batteria</v>
      </c>
      <c r="C30" s="60" t="str">
        <f>INDEX(Lingue!$B:$D,MATCH("x_feas",Lingue!$A:$A,0),MATCH(Input!$B$3,Lingue!$B$1:$D$1,0))</f>
        <v>Se è sotto il 100%, la batteria è troppo piccola per gestire tutti i flussi annui richiesti e il modello li riduce automaticamente.</v>
      </c>
      <c r="D30" s="58"/>
      <c r="E30" s="58"/>
      <c r="F30" s="58"/>
      <c r="G30" s="58"/>
      <c r="H30" s="58"/>
      <c r="I30" s="58"/>
    </row>
    <row r="31" spans="1:9" ht="33.950000000000003" customHeight="1" x14ac:dyDescent="0.25">
      <c r="A31" s="25" t="s">
        <v>22</v>
      </c>
      <c r="B31" s="25" t="str">
        <f>INDEX(Lingue!$B:$D,MATCH("o_per_system",Lingue!$A:$A,0),MATCH(Input!$B$3,Lingue!$B$1:$D$1,0))</f>
        <v>Incremento valore per sistema</v>
      </c>
      <c r="C31" s="60" t="str">
        <f>INDEX(Lingue!$B:$D,MATCH("x_per_system",Lingue!$A:$A,0),MATCH(Input!$B$3,Lingue!$B$1:$D$1,0))</f>
        <v>Valore medio annuo per singolo sistema iDeA: utile per una valutazione rapida per modulo o lotto.</v>
      </c>
      <c r="D31" s="58"/>
      <c r="E31" s="58"/>
      <c r="F31" s="58"/>
      <c r="G31" s="58"/>
      <c r="H31" s="58"/>
      <c r="I31" s="58"/>
    </row>
    <row r="33" spans="1:9" x14ac:dyDescent="0.25">
      <c r="A33" s="54" t="str">
        <f>INDEX(Lingue!$B:$D,MATCH("guide_sec_adapt",Lingue!$A:$A,0),MATCH(Input!$B$3,Lingue!$B$1:$D$1,0))</f>
        <v>3. Come adattare il modello a siti e mercati diversi</v>
      </c>
      <c r="B33" s="45"/>
      <c r="C33" s="45"/>
      <c r="D33" s="45"/>
      <c r="E33" s="45"/>
      <c r="F33" s="45"/>
      <c r="G33" s="45"/>
      <c r="H33" s="45"/>
      <c r="I33" s="45"/>
    </row>
    <row r="34" spans="1:9" ht="26.1" customHeight="1" x14ac:dyDescent="0.25">
      <c r="A34" s="47" t="str">
        <f>INDEX(Lingue!$B:$D,MATCH("adapt_note",Lingue!$A:$A,0),MATCH(Input!$B$3,Lingue!$B$1:$D$1,0))</f>
        <v>Per siti fuori Italia, inizia da tre gruppi di celle: B15 (producibilità/irraggiamento), B20:B24 (ore e prezzi di mercato), B25 (energia persa per congestione o clipping). Se cambia la tecnologia batteria, aggiorna anche B10:B12.</v>
      </c>
      <c r="B34" s="45"/>
      <c r="C34" s="45"/>
      <c r="D34" s="45"/>
      <c r="E34" s="45"/>
      <c r="F34" s="45"/>
      <c r="G34" s="45"/>
      <c r="H34" s="45"/>
      <c r="I34" s="45"/>
    </row>
    <row r="35" spans="1:9" ht="26.1" customHeight="1" x14ac:dyDescent="0.25">
      <c r="A35" s="45"/>
      <c r="B35" s="45"/>
      <c r="C35" s="45"/>
      <c r="D35" s="45"/>
      <c r="E35" s="45"/>
      <c r="F35" s="45"/>
      <c r="G35" s="45"/>
      <c r="H35" s="45"/>
      <c r="I35" s="45"/>
    </row>
    <row r="36" spans="1:9" ht="26.1" customHeight="1" x14ac:dyDescent="0.25">
      <c r="A36" s="45"/>
      <c r="B36" s="45"/>
      <c r="C36" s="45"/>
      <c r="D36" s="45"/>
      <c r="E36" s="45"/>
      <c r="F36" s="45"/>
      <c r="G36" s="45"/>
      <c r="H36" s="45"/>
      <c r="I36" s="45"/>
    </row>
    <row r="38" spans="1:9" x14ac:dyDescent="0.25">
      <c r="A38" s="54" t="str">
        <f>INDEX(Lingue!$B:$D,MATCH("guide_sec_congestion",Lingue!$A:$A,0),MATCH(Input!$B$3,Lingue!$B$1:$D$1,0))</f>
        <v>4. Nota su recupero congestioni</v>
      </c>
      <c r="B38" s="45"/>
      <c r="C38" s="45"/>
      <c r="D38" s="45"/>
      <c r="E38" s="45"/>
      <c r="F38" s="45"/>
      <c r="G38" s="45"/>
      <c r="H38" s="45"/>
      <c r="I38" s="45"/>
    </row>
    <row r="39" spans="1:9" ht="26.1" customHeight="1" x14ac:dyDescent="0.25">
      <c r="A39" s="47" t="str">
        <f>INDEX(Lingue!$B:$D,MATCH("congestion_note",Lingue!$A:$A,0),MATCH(Input!$B$3,Lingue!$B$1:$D$1,0))</f>
        <v>Recupero congestioni = energia che l'impianto produrrebbe ma che non può immettere subito in rete per limiti di rete, clipping o ordini di riduzione. Il modello assume che questa energia possa essere caricata in batteria e valorizzata più tardi, nei limiti del throughput disponibile.</v>
      </c>
      <c r="B39" s="45"/>
      <c r="C39" s="45"/>
      <c r="D39" s="45"/>
      <c r="E39" s="45"/>
      <c r="F39" s="45"/>
      <c r="G39" s="45"/>
      <c r="H39" s="45"/>
      <c r="I39" s="45"/>
    </row>
    <row r="40" spans="1:9" ht="26.1" customHeight="1" x14ac:dyDescent="0.25">
      <c r="A40" s="45"/>
      <c r="B40" s="45"/>
      <c r="C40" s="45"/>
      <c r="D40" s="45"/>
      <c r="E40" s="45"/>
      <c r="F40" s="45"/>
      <c r="G40" s="45"/>
      <c r="H40" s="45"/>
      <c r="I40" s="45"/>
    </row>
    <row r="41" spans="1:9" ht="26.1" customHeight="1" x14ac:dyDescent="0.25">
      <c r="A41" s="45"/>
      <c r="B41" s="45"/>
      <c r="C41" s="45"/>
      <c r="D41" s="45"/>
      <c r="E41" s="45"/>
      <c r="F41" s="45"/>
      <c r="G41" s="45"/>
      <c r="H41" s="45"/>
      <c r="I41" s="45"/>
    </row>
    <row r="43" spans="1:9" x14ac:dyDescent="0.25">
      <c r="A43" s="48" t="s">
        <v>82</v>
      </c>
      <c r="B43" s="46"/>
      <c r="C43" s="35"/>
      <c r="D43" s="48" t="s">
        <v>83</v>
      </c>
      <c r="E43" s="46"/>
      <c r="F43" s="35"/>
      <c r="G43" s="48" t="s">
        <v>84</v>
      </c>
      <c r="H43" s="46"/>
      <c r="I43" s="35"/>
    </row>
    <row r="44" spans="1:9" ht="26.1" customHeight="1" x14ac:dyDescent="0.25">
      <c r="A44" s="62" t="s">
        <v>85</v>
      </c>
      <c r="B44" s="45"/>
      <c r="C44" s="45"/>
      <c r="D44" s="62" t="s">
        <v>86</v>
      </c>
      <c r="E44" s="45"/>
      <c r="F44" s="45"/>
      <c r="G44" s="62" t="s">
        <v>87</v>
      </c>
      <c r="H44" s="45"/>
      <c r="I44" s="45"/>
    </row>
    <row r="45" spans="1:9" ht="26.1" customHeight="1" x14ac:dyDescent="0.25">
      <c r="A45" s="45"/>
      <c r="B45" s="45"/>
      <c r="C45" s="45"/>
      <c r="D45" s="45"/>
      <c r="E45" s="45"/>
      <c r="F45" s="45"/>
      <c r="G45" s="45"/>
      <c r="H45" s="45"/>
      <c r="I45" s="45"/>
    </row>
    <row r="46" spans="1:9" ht="26.1" customHeight="1" x14ac:dyDescent="0.25">
      <c r="A46" s="45"/>
      <c r="B46" s="45"/>
      <c r="C46" s="45"/>
      <c r="D46" s="45"/>
      <c r="E46" s="45"/>
      <c r="F46" s="45"/>
      <c r="G46" s="45"/>
      <c r="H46" s="45"/>
      <c r="I46" s="45"/>
    </row>
    <row r="47" spans="1:9" ht="26.1" customHeight="1" x14ac:dyDescent="0.25">
      <c r="A47" s="45"/>
      <c r="B47" s="45"/>
      <c r="C47" s="45"/>
      <c r="D47" s="45"/>
      <c r="E47" s="45"/>
      <c r="F47" s="45"/>
      <c r="G47" s="45"/>
      <c r="H47" s="45"/>
      <c r="I47" s="45"/>
    </row>
  </sheetData>
  <mergeCells count="39">
    <mergeCell ref="A1:I1"/>
    <mergeCell ref="A39:I41"/>
    <mergeCell ref="D6:I6"/>
    <mergeCell ref="C27:I27"/>
    <mergeCell ref="D5:I5"/>
    <mergeCell ref="C29:I29"/>
    <mergeCell ref="D20:I20"/>
    <mergeCell ref="C25:I25"/>
    <mergeCell ref="G43:I43"/>
    <mergeCell ref="A34:I36"/>
    <mergeCell ref="D19:I19"/>
    <mergeCell ref="C31:I31"/>
    <mergeCell ref="D10:I10"/>
    <mergeCell ref="D7:I7"/>
    <mergeCell ref="D43:F43"/>
    <mergeCell ref="C28:I28"/>
    <mergeCell ref="A2:I2"/>
    <mergeCell ref="A33:I33"/>
    <mergeCell ref="D18:I18"/>
    <mergeCell ref="D9:I9"/>
    <mergeCell ref="D12:I12"/>
    <mergeCell ref="C24:I24"/>
    <mergeCell ref="C30:I30"/>
    <mergeCell ref="A22:I22"/>
    <mergeCell ref="A4:I4"/>
    <mergeCell ref="A43:C43"/>
    <mergeCell ref="D8:I8"/>
    <mergeCell ref="A38:I38"/>
    <mergeCell ref="D15:I15"/>
    <mergeCell ref="D11:I11"/>
    <mergeCell ref="C23:I23"/>
    <mergeCell ref="D13:I13"/>
    <mergeCell ref="A44:C47"/>
    <mergeCell ref="G44:I47"/>
    <mergeCell ref="D17:I17"/>
    <mergeCell ref="D16:I16"/>
    <mergeCell ref="D44:F47"/>
    <mergeCell ref="D14:I14"/>
    <mergeCell ref="C26:I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showGridLines="0" workbookViewId="0">
      <selection sqref="A1:H1"/>
    </sheetView>
  </sheetViews>
  <sheetFormatPr defaultRowHeight="15" x14ac:dyDescent="0.25"/>
  <cols>
    <col min="1" max="1" width="45" customWidth="1"/>
    <col min="2" max="3" width="16" customWidth="1"/>
    <col min="4" max="4" width="44" customWidth="1"/>
    <col min="6" max="6" width="32" customWidth="1"/>
    <col min="7" max="7" width="18" customWidth="1"/>
    <col min="8" max="8" width="44" customWidth="1"/>
  </cols>
  <sheetData>
    <row r="1" spans="1:8" ht="24" customHeight="1" x14ac:dyDescent="0.25">
      <c r="A1" s="59" t="s">
        <v>88</v>
      </c>
      <c r="B1" s="45"/>
      <c r="C1" s="45"/>
      <c r="D1" s="45"/>
      <c r="E1" s="45"/>
      <c r="F1" s="45"/>
      <c r="G1" s="45"/>
      <c r="H1" s="45"/>
    </row>
    <row r="2" spans="1:8" ht="30" customHeight="1" x14ac:dyDescent="0.25">
      <c r="A2" s="64" t="s">
        <v>89</v>
      </c>
      <c r="B2" s="45"/>
      <c r="C2" s="45"/>
      <c r="D2" s="45"/>
      <c r="E2" s="45"/>
      <c r="F2" s="45"/>
      <c r="G2" s="45"/>
      <c r="H2" s="45"/>
    </row>
    <row r="4" spans="1:8" x14ac:dyDescent="0.25">
      <c r="A4" s="53" t="s">
        <v>90</v>
      </c>
      <c r="B4" s="45"/>
      <c r="C4" s="45"/>
      <c r="D4" s="45"/>
      <c r="F4" s="53" t="s">
        <v>91</v>
      </c>
      <c r="G4" s="45"/>
      <c r="H4" s="45"/>
    </row>
    <row r="5" spans="1:8" x14ac:dyDescent="0.25">
      <c r="A5" s="8" t="s">
        <v>92</v>
      </c>
      <c r="B5" s="15">
        <f>MIN(Input!$B$5,Input!$B$6)</f>
        <v>20</v>
      </c>
      <c r="C5" s="10" t="s">
        <v>12</v>
      </c>
      <c r="D5" s="11" t="s">
        <v>93</v>
      </c>
      <c r="F5" s="8" t="s">
        <v>94</v>
      </c>
      <c r="G5" s="16" t="str">
        <f>IF(Input!$B$6&gt;Input!$B$5,"ATTENZIONE: iDeA &gt; stringhe","OK")</f>
        <v>OK</v>
      </c>
    </row>
    <row r="6" spans="1:8" x14ac:dyDescent="0.25">
      <c r="A6" s="8" t="s">
        <v>95</v>
      </c>
      <c r="B6" s="15">
        <f>MAX(Input!$B$5-B5,0)</f>
        <v>0</v>
      </c>
      <c r="C6" s="10" t="s">
        <v>12</v>
      </c>
      <c r="D6" s="11" t="s">
        <v>96</v>
      </c>
      <c r="F6" s="8" t="s">
        <v>15</v>
      </c>
      <c r="G6" s="17">
        <f>IF(Input!$B$5=0,0,B6/Input!$B$5)</f>
        <v>0</v>
      </c>
    </row>
    <row r="7" spans="1:8" x14ac:dyDescent="0.25">
      <c r="A7" s="8" t="s">
        <v>97</v>
      </c>
      <c r="B7" s="18">
        <f>Input!$B$5*Input!$B$8</f>
        <v>200</v>
      </c>
      <c r="C7" s="10" t="s">
        <v>32</v>
      </c>
      <c r="D7" s="11" t="s">
        <v>98</v>
      </c>
      <c r="F7" s="8" t="s">
        <v>18</v>
      </c>
      <c r="G7" s="17">
        <f>B30</f>
        <v>1</v>
      </c>
    </row>
    <row r="8" spans="1:8" x14ac:dyDescent="0.25">
      <c r="A8" s="8" t="s">
        <v>99</v>
      </c>
      <c r="B8" s="18">
        <f>B5*Input!$B$9</f>
        <v>200</v>
      </c>
      <c r="C8" s="10" t="s">
        <v>32</v>
      </c>
      <c r="D8" s="11" t="s">
        <v>100</v>
      </c>
      <c r="F8" s="8" t="s">
        <v>21</v>
      </c>
      <c r="G8" s="16" t="str">
        <f>IF(B30&lt;1,"ATTENZIONE: il throughput annuo richiesto supera la capacità batteria","OK")</f>
        <v>OK</v>
      </c>
    </row>
    <row r="9" spans="1:8" x14ac:dyDescent="0.25">
      <c r="A9" s="8" t="s">
        <v>101</v>
      </c>
      <c r="B9" s="18">
        <f>B6*Input!$B$8</f>
        <v>0</v>
      </c>
      <c r="C9" s="10" t="s">
        <v>32</v>
      </c>
      <c r="D9" s="11" t="s">
        <v>102</v>
      </c>
    </row>
    <row r="10" spans="1:8" ht="69.95" customHeight="1" x14ac:dyDescent="0.25">
      <c r="A10" s="8" t="s">
        <v>103</v>
      </c>
      <c r="B10" s="18">
        <f>Input!$B$6*Input!$B$7</f>
        <v>200</v>
      </c>
      <c r="C10" s="10" t="s">
        <v>17</v>
      </c>
      <c r="D10" s="11" t="s">
        <v>104</v>
      </c>
      <c r="F10" s="63" t="s">
        <v>105</v>
      </c>
      <c r="G10" s="45"/>
      <c r="H10" s="45"/>
    </row>
    <row r="11" spans="1:8" x14ac:dyDescent="0.25">
      <c r="A11" s="8" t="s">
        <v>106</v>
      </c>
      <c r="B11" s="18">
        <f>B10*Input!$B$10</f>
        <v>180</v>
      </c>
      <c r="C11" s="10" t="s">
        <v>17</v>
      </c>
      <c r="D11" s="11" t="s">
        <v>35</v>
      </c>
      <c r="F11" s="45"/>
      <c r="G11" s="45"/>
      <c r="H11" s="45"/>
    </row>
    <row r="12" spans="1:8" x14ac:dyDescent="0.25">
      <c r="A12" s="8" t="s">
        <v>106</v>
      </c>
      <c r="B12" s="18">
        <f>B11/1000</f>
        <v>0.18</v>
      </c>
      <c r="C12" s="10" t="s">
        <v>107</v>
      </c>
      <c r="D12" s="11" t="s">
        <v>108</v>
      </c>
      <c r="F12" s="45"/>
      <c r="G12" s="45"/>
      <c r="H12" s="45"/>
    </row>
    <row r="13" spans="1:8" x14ac:dyDescent="0.25">
      <c r="A13" s="8" t="s">
        <v>109</v>
      </c>
      <c r="B13" s="18">
        <f>B12*Input!$B$11</f>
        <v>45</v>
      </c>
      <c r="C13" s="10" t="s">
        <v>20</v>
      </c>
      <c r="D13" s="11" t="s">
        <v>110</v>
      </c>
      <c r="F13" s="45"/>
      <c r="G13" s="45"/>
      <c r="H13" s="45"/>
    </row>
    <row r="14" spans="1:8" x14ac:dyDescent="0.25">
      <c r="A14" s="8" t="s">
        <v>111</v>
      </c>
      <c r="B14" s="18">
        <f>B13*Input!$B$12</f>
        <v>40.950000000000003</v>
      </c>
      <c r="C14" s="10" t="s">
        <v>20</v>
      </c>
      <c r="D14" s="11" t="s">
        <v>112</v>
      </c>
    </row>
    <row r="15" spans="1:8" x14ac:dyDescent="0.25">
      <c r="A15" s="8" t="s">
        <v>113</v>
      </c>
      <c r="B15" s="18">
        <f>IF(B8=0,0,B10/B8)</f>
        <v>1</v>
      </c>
      <c r="C15" s="10" t="s">
        <v>114</v>
      </c>
      <c r="D15" s="11" t="s">
        <v>115</v>
      </c>
    </row>
    <row r="16" spans="1:8" x14ac:dyDescent="0.25">
      <c r="A16" s="8" t="s">
        <v>1</v>
      </c>
      <c r="B16" s="19">
        <f>IF(B7=0,0,B8/B7)</f>
        <v>1</v>
      </c>
      <c r="C16" s="10" t="s">
        <v>36</v>
      </c>
      <c r="D16" s="11" t="s">
        <v>116</v>
      </c>
    </row>
    <row r="18" spans="1:4" x14ac:dyDescent="0.25">
      <c r="A18" s="53" t="s">
        <v>117</v>
      </c>
      <c r="B18" s="45"/>
      <c r="C18" s="45"/>
      <c r="D18" s="45"/>
    </row>
    <row r="19" spans="1:4" x14ac:dyDescent="0.25">
      <c r="A19" s="8" t="s">
        <v>118</v>
      </c>
      <c r="B19" s="18">
        <f>B7*Input!$B$15/1000</f>
        <v>270</v>
      </c>
      <c r="C19" s="10" t="s">
        <v>20</v>
      </c>
      <c r="D19" s="11" t="s">
        <v>119</v>
      </c>
    </row>
    <row r="20" spans="1:4" x14ac:dyDescent="0.25">
      <c r="A20" s="8" t="s">
        <v>120</v>
      </c>
      <c r="B20" s="18">
        <f>B8*Input!$B$15/1000</f>
        <v>270</v>
      </c>
      <c r="C20" s="10" t="s">
        <v>20</v>
      </c>
      <c r="D20" s="11" t="s">
        <v>121</v>
      </c>
    </row>
    <row r="21" spans="1:4" x14ac:dyDescent="0.25">
      <c r="A21" s="8" t="s">
        <v>122</v>
      </c>
      <c r="B21" s="18">
        <f>B19-B20</f>
        <v>0</v>
      </c>
      <c r="C21" s="10" t="s">
        <v>20</v>
      </c>
      <c r="D21" s="11" t="s">
        <v>123</v>
      </c>
    </row>
    <row r="22" spans="1:4" x14ac:dyDescent="0.25">
      <c r="A22" s="8" t="s">
        <v>124</v>
      </c>
      <c r="B22" s="18">
        <f>B20*Input!$B$16</f>
        <v>29.7</v>
      </c>
      <c r="C22" s="10" t="s">
        <v>20</v>
      </c>
      <c r="D22" s="11" t="s">
        <v>125</v>
      </c>
    </row>
    <row r="23" spans="1:4" x14ac:dyDescent="0.25">
      <c r="A23" s="8" t="s">
        <v>126</v>
      </c>
      <c r="B23" s="20">
        <f>B22*Input!$B$17</f>
        <v>2970</v>
      </c>
      <c r="C23" s="10" t="s">
        <v>66</v>
      </c>
      <c r="D23" s="11" t="s">
        <v>127</v>
      </c>
    </row>
    <row r="26" spans="1:4" x14ac:dyDescent="0.25">
      <c r="A26" s="53" t="s">
        <v>128</v>
      </c>
      <c r="B26" s="45"/>
      <c r="C26" s="45"/>
      <c r="D26" s="45"/>
    </row>
    <row r="27" spans="1:4" x14ac:dyDescent="0.25">
      <c r="A27" s="8" t="s">
        <v>129</v>
      </c>
      <c r="B27" s="18">
        <f>MIN(B20,(B8/1000)*Input!$B$20*Input!$B$21)</f>
        <v>22</v>
      </c>
      <c r="C27" s="10" t="s">
        <v>20</v>
      </c>
      <c r="D27" s="11" t="s">
        <v>130</v>
      </c>
    </row>
    <row r="28" spans="1:4" x14ac:dyDescent="0.25">
      <c r="A28" s="8" t="s">
        <v>131</v>
      </c>
      <c r="B28" s="18">
        <f>Input!$B$25</f>
        <v>0</v>
      </c>
      <c r="C28" s="10" t="s">
        <v>20</v>
      </c>
      <c r="D28" s="11" t="s">
        <v>132</v>
      </c>
    </row>
    <row r="29" spans="1:4" x14ac:dyDescent="0.25">
      <c r="A29" s="8" t="s">
        <v>133</v>
      </c>
      <c r="B29" s="18">
        <f>B27+B28</f>
        <v>22</v>
      </c>
      <c r="C29" s="10" t="s">
        <v>20</v>
      </c>
      <c r="D29" s="11" t="s">
        <v>134</v>
      </c>
    </row>
    <row r="30" spans="1:4" x14ac:dyDescent="0.25">
      <c r="A30" s="8" t="s">
        <v>135</v>
      </c>
      <c r="B30" s="19">
        <f>IF(B29=0,1,MIN(1,B13/B29))</f>
        <v>1</v>
      </c>
      <c r="C30" s="10" t="s">
        <v>36</v>
      </c>
      <c r="D30" s="11" t="s">
        <v>136</v>
      </c>
    </row>
    <row r="31" spans="1:4" x14ac:dyDescent="0.25">
      <c r="A31" s="8" t="s">
        <v>137</v>
      </c>
      <c r="B31" s="18">
        <f>B27*B30</f>
        <v>22</v>
      </c>
      <c r="C31" s="10" t="s">
        <v>20</v>
      </c>
      <c r="D31" s="11" t="s">
        <v>138</v>
      </c>
    </row>
    <row r="32" spans="1:4" ht="30" x14ac:dyDescent="0.25">
      <c r="A32" s="8" t="s">
        <v>139</v>
      </c>
      <c r="B32" s="18">
        <f>B28*B30</f>
        <v>0</v>
      </c>
      <c r="C32" s="10" t="s">
        <v>20</v>
      </c>
      <c r="D32" s="11" t="s">
        <v>140</v>
      </c>
    </row>
    <row r="33" spans="1:4" x14ac:dyDescent="0.25">
      <c r="A33" s="8" t="s">
        <v>141</v>
      </c>
      <c r="B33" s="18">
        <f>B31*Input!$B$12</f>
        <v>20.02</v>
      </c>
      <c r="C33" s="10" t="s">
        <v>20</v>
      </c>
      <c r="D33" s="11" t="s">
        <v>142</v>
      </c>
    </row>
    <row r="34" spans="1:4" x14ac:dyDescent="0.25">
      <c r="A34" s="8" t="s">
        <v>143</v>
      </c>
      <c r="B34" s="18">
        <f>B32*Input!$B$12</f>
        <v>0</v>
      </c>
      <c r="C34" s="10" t="s">
        <v>20</v>
      </c>
      <c r="D34" s="11" t="s">
        <v>142</v>
      </c>
    </row>
    <row r="35" spans="1:4" x14ac:dyDescent="0.25">
      <c r="A35" s="8" t="s">
        <v>144</v>
      </c>
      <c r="B35" s="18">
        <f>B33+B34</f>
        <v>20.02</v>
      </c>
      <c r="C35" s="10" t="s">
        <v>20</v>
      </c>
      <c r="D35" s="11" t="s">
        <v>145</v>
      </c>
    </row>
    <row r="38" spans="1:4" x14ac:dyDescent="0.25">
      <c r="A38" s="53" t="s">
        <v>146</v>
      </c>
      <c r="B38" s="45"/>
      <c r="C38" s="45"/>
      <c r="D38" s="45"/>
    </row>
    <row r="39" spans="1:4" ht="30" x14ac:dyDescent="0.25">
      <c r="A39" s="8" t="s">
        <v>147</v>
      </c>
      <c r="B39" s="20">
        <f>B33*Input!$B$23-B31*Input!$B$22-B33*Input!$B$24</f>
        <v>2802.7999999999997</v>
      </c>
      <c r="C39" s="10" t="s">
        <v>66</v>
      </c>
      <c r="D39" s="11" t="s">
        <v>148</v>
      </c>
    </row>
    <row r="40" spans="1:4" x14ac:dyDescent="0.25">
      <c r="A40" s="8" t="s">
        <v>149</v>
      </c>
      <c r="B40" s="20">
        <f>B34*Input!$B$23-B34*Input!$B$24</f>
        <v>0</v>
      </c>
      <c r="C40" s="10" t="s">
        <v>66</v>
      </c>
      <c r="D40" s="11" t="s">
        <v>150</v>
      </c>
    </row>
    <row r="41" spans="1:4" x14ac:dyDescent="0.25">
      <c r="A41" s="8" t="s">
        <v>151</v>
      </c>
      <c r="B41" s="20">
        <f>B39+B40</f>
        <v>2802.7999999999997</v>
      </c>
      <c r="C41" s="10" t="s">
        <v>66</v>
      </c>
      <c r="D41" s="11" t="s">
        <v>152</v>
      </c>
    </row>
    <row r="42" spans="1:4" x14ac:dyDescent="0.25">
      <c r="A42" s="8" t="s">
        <v>19</v>
      </c>
      <c r="B42" s="18">
        <f>B22+B35</f>
        <v>49.72</v>
      </c>
      <c r="C42" s="10" t="s">
        <v>20</v>
      </c>
      <c r="D42" s="11" t="s">
        <v>153</v>
      </c>
    </row>
    <row r="43" spans="1:4" x14ac:dyDescent="0.25">
      <c r="A43" s="8" t="s">
        <v>154</v>
      </c>
      <c r="B43" s="20">
        <f>B23+B41</f>
        <v>5772.7999999999993</v>
      </c>
      <c r="C43" s="10" t="s">
        <v>66</v>
      </c>
      <c r="D43" s="11" t="s">
        <v>153</v>
      </c>
    </row>
    <row r="44" spans="1:4" x14ac:dyDescent="0.25">
      <c r="A44" s="8" t="s">
        <v>155</v>
      </c>
      <c r="B44" s="20">
        <f>IF(Input!$B$6=0,0,B43/Input!$B$6)</f>
        <v>288.64</v>
      </c>
      <c r="C44" s="10" t="s">
        <v>23</v>
      </c>
      <c r="D44" s="11" t="s">
        <v>156</v>
      </c>
    </row>
    <row r="45" spans="1:4" x14ac:dyDescent="0.25">
      <c r="A45" s="8" t="s">
        <v>157</v>
      </c>
      <c r="B45" s="20">
        <f>IF(Input!$B$5=0,0,B43/Input!$B$5)</f>
        <v>288.64</v>
      </c>
      <c r="C45" s="10" t="s">
        <v>25</v>
      </c>
      <c r="D45" s="11" t="s">
        <v>158</v>
      </c>
    </row>
    <row r="46" spans="1:4" x14ac:dyDescent="0.25">
      <c r="A46" s="8" t="s">
        <v>159</v>
      </c>
      <c r="B46" s="19">
        <f>IF(B19=0,0,B42/B19)</f>
        <v>0.18414814814814814</v>
      </c>
      <c r="C46" s="10" t="s">
        <v>36</v>
      </c>
      <c r="D46" s="11" t="s">
        <v>160</v>
      </c>
    </row>
  </sheetData>
  <mergeCells count="8">
    <mergeCell ref="A38:D38"/>
    <mergeCell ref="F4:H4"/>
    <mergeCell ref="A1:H1"/>
    <mergeCell ref="A18:D18"/>
    <mergeCell ref="F10:H13"/>
    <mergeCell ref="A4:D4"/>
    <mergeCell ref="A2:H2"/>
    <mergeCell ref="A26:D26"/>
  </mergeCells>
  <conditionalFormatting sqref="G5">
    <cfRule type="expression" dxfId="5" priority="1">
      <formula>LEFT(G5,10)="ATTENZIONE"</formula>
    </cfRule>
    <cfRule type="expression" dxfId="4" priority="2">
      <formula>G5="OK"</formula>
    </cfRule>
  </conditionalFormatting>
  <conditionalFormatting sqref="G7">
    <cfRule type="expression" dxfId="3" priority="5">
      <formula>G7&lt;1</formula>
    </cfRule>
    <cfRule type="expression" dxfId="2" priority="6">
      <formula>G7&gt;=1</formula>
    </cfRule>
  </conditionalFormatting>
  <conditionalFormatting sqref="G8">
    <cfRule type="expression" dxfId="1" priority="3">
      <formula>LEFT(G8,10)="ATTENZIONE"</formula>
    </cfRule>
    <cfRule type="expression" dxfId="0" priority="4">
      <formula>G8="OK"</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
  <sheetViews>
    <sheetView workbookViewId="0"/>
  </sheetViews>
  <sheetFormatPr defaultRowHeight="15" x14ac:dyDescent="0.25"/>
  <cols>
    <col min="1" max="1" width="14" customWidth="1"/>
    <col min="2" max="2" width="16" customWidth="1"/>
    <col min="4" max="4" width="14" customWidth="1"/>
    <col min="5" max="5" width="18" customWidth="1"/>
    <col min="7" max="7" width="18" customWidth="1"/>
    <col min="8" max="8" width="16" customWidth="1"/>
  </cols>
  <sheetData>
    <row r="1" spans="1:8" x14ac:dyDescent="0.25">
      <c r="A1" t="str">
        <f>INDEX(Lingue!$B:$D,MATCH("before",Lingue!$A:$A,0),MATCH(Input!$B$3,Lingue!$B$1:$D$1,0))</f>
        <v>Prima</v>
      </c>
      <c r="B1">
        <f>Calcoli!B20</f>
        <v>270</v>
      </c>
      <c r="D1" t="str">
        <f>INDEX(Lingue!$B:$D,MATCH("before",Lingue!$A:$A,0),MATCH(Input!$B$3,Lingue!$B$1:$D$1,0))</f>
        <v>Prima</v>
      </c>
      <c r="E1">
        <f>Calcoli!B31*Input!$B$22</f>
        <v>0</v>
      </c>
      <c r="G1" t="str">
        <f>INDEX(Lingue!$B:$D,MATCH("c_mppt",Lingue!$A:$A,0),MATCH(Input!$B$3,Lingue!$B$1:$D$1,0))</f>
        <v>Valore MPPT</v>
      </c>
      <c r="H1">
        <f>Calcoli!B23</f>
        <v>2970</v>
      </c>
    </row>
    <row r="2" spans="1:8" x14ac:dyDescent="0.25">
      <c r="A2" t="str">
        <f>INDEX(Lingue!$B:$D,MATCH("after",Lingue!$A:$A,0),MATCH(Input!$B$3,Lingue!$B$1:$D$1,0))</f>
        <v>Dopo</v>
      </c>
      <c r="B2">
        <f>Calcoli!B20+Calcoli!B22</f>
        <v>299.7</v>
      </c>
      <c r="D2" t="str">
        <f>INDEX(Lingue!$B:$D,MATCH("after",Lingue!$A:$A,0),MATCH(Input!$B$3,Lingue!$B$1:$D$1,0))</f>
        <v>Dopo</v>
      </c>
      <c r="E2">
        <f>Calcoli!B23 + (Calcoli!B33*Input!$B$23 - Calcoli!B33*Input!$B$24) + (Calcoli!B34*Input!$B$23 - Calcoli!B34*Input!$B$24)</f>
        <v>5772.7999999999993</v>
      </c>
      <c r="G2" t="str">
        <f>INDEX(Lingue!$B:$D,MATCH("c_arb",Lingue!$A:$A,0),MATCH(Input!$B$3,Lingue!$B$1:$D$1,0))</f>
        <v>Valore arbitraggio</v>
      </c>
      <c r="H2">
        <f>Calcoli!B39</f>
        <v>2802.7999999999997</v>
      </c>
    </row>
    <row r="3" spans="1:8" x14ac:dyDescent="0.25">
      <c r="B3" t="str">
        <f>INDEX(Lingue!$B:$D,MATCH("c_energy_managed",Lingue!$A:$A,0),MATCH(Input!$B$3,Lingue!$B$1:$D$1,0))</f>
        <v>Energia FV gestita [MWh/anno]</v>
      </c>
      <c r="E3" t="str">
        <f>INDEX(Lingue!$B:$D,MATCH("c_value_affected",Lingue!$A:$A,0),MATCH(Input!$B$3,Lingue!$B$1:$D$1,0))</f>
        <v>Valore flussi gestiti [€ / anno]</v>
      </c>
      <c r="G3" t="str">
        <f>INDEX(Lingue!$B:$D,MATCH("c_cong",Lingue!$A:$A,0),MATCH(Input!$B$3,Lingue!$B$1:$D$1,0))</f>
        <v>Valore congestioni / clipping</v>
      </c>
      <c r="H3">
        <f>Calcoli!B40</f>
        <v>0</v>
      </c>
    </row>
    <row r="4" spans="1:8" x14ac:dyDescent="0.25">
      <c r="H4" t="str">
        <f>INDEX(Lingue!$B:$D,MATCH("o_total_val",Lingue!$A:$A,0),MATCH(Input!$B$3,Lingue!$B$1:$D$1,0))</f>
        <v>Valore totale [€ / anno]</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5"/>
  <sheetViews>
    <sheetView topLeftCell="C1" workbookViewId="0">
      <selection activeCell="E23" sqref="E23"/>
    </sheetView>
  </sheetViews>
  <sheetFormatPr defaultRowHeight="15" x14ac:dyDescent="0.25"/>
  <cols>
    <col min="1" max="1" width="26" customWidth="1"/>
    <col min="2" max="4" width="70" customWidth="1"/>
  </cols>
  <sheetData>
    <row r="1" spans="1:4" x14ac:dyDescent="0.25">
      <c r="A1" t="s">
        <v>161</v>
      </c>
      <c r="B1" t="s">
        <v>27</v>
      </c>
      <c r="C1" t="s">
        <v>162</v>
      </c>
      <c r="D1" t="s">
        <v>163</v>
      </c>
    </row>
    <row r="2" spans="1:4" x14ac:dyDescent="0.25">
      <c r="A2" t="s">
        <v>164</v>
      </c>
      <c r="B2" t="s">
        <v>165</v>
      </c>
      <c r="C2" t="s">
        <v>166</v>
      </c>
      <c r="D2" t="s">
        <v>167</v>
      </c>
    </row>
    <row r="3" spans="1:4" x14ac:dyDescent="0.25">
      <c r="A3" t="s">
        <v>168</v>
      </c>
      <c r="B3" t="s">
        <v>169</v>
      </c>
      <c r="C3" t="s">
        <v>170</v>
      </c>
      <c r="D3" t="s">
        <v>171</v>
      </c>
    </row>
    <row r="4" spans="1:4" x14ac:dyDescent="0.25">
      <c r="A4" t="s">
        <v>172</v>
      </c>
      <c r="B4" t="s">
        <v>173</v>
      </c>
      <c r="C4" t="s">
        <v>174</v>
      </c>
      <c r="D4" t="s">
        <v>175</v>
      </c>
    </row>
    <row r="5" spans="1:4" x14ac:dyDescent="0.25">
      <c r="A5" t="s">
        <v>176</v>
      </c>
      <c r="B5" t="s">
        <v>177</v>
      </c>
      <c r="C5" t="s">
        <v>178</v>
      </c>
      <c r="D5" t="s">
        <v>179</v>
      </c>
    </row>
    <row r="6" spans="1:4" x14ac:dyDescent="0.25">
      <c r="A6" t="s">
        <v>180</v>
      </c>
      <c r="B6" t="s">
        <v>181</v>
      </c>
      <c r="C6" t="s">
        <v>182</v>
      </c>
      <c r="D6" t="s">
        <v>183</v>
      </c>
    </row>
    <row r="7" spans="1:4" x14ac:dyDescent="0.25">
      <c r="A7" t="s">
        <v>184</v>
      </c>
      <c r="B7" t="s">
        <v>185</v>
      </c>
      <c r="C7" t="s">
        <v>186</v>
      </c>
      <c r="D7" t="s">
        <v>187</v>
      </c>
    </row>
    <row r="8" spans="1:4" x14ac:dyDescent="0.25">
      <c r="A8" t="s">
        <v>188</v>
      </c>
      <c r="B8" t="s">
        <v>189</v>
      </c>
      <c r="C8" t="s">
        <v>190</v>
      </c>
      <c r="D8" t="s">
        <v>191</v>
      </c>
    </row>
    <row r="9" spans="1:4" x14ac:dyDescent="0.25">
      <c r="A9" t="s">
        <v>192</v>
      </c>
      <c r="B9" t="s">
        <v>193</v>
      </c>
      <c r="C9" t="s">
        <v>194</v>
      </c>
      <c r="D9" t="s">
        <v>195</v>
      </c>
    </row>
    <row r="10" spans="1:4" x14ac:dyDescent="0.25">
      <c r="A10" t="s">
        <v>196</v>
      </c>
      <c r="B10" t="s">
        <v>197</v>
      </c>
      <c r="C10" t="s">
        <v>198</v>
      </c>
      <c r="D10" t="s">
        <v>199</v>
      </c>
    </row>
    <row r="11" spans="1:4" x14ac:dyDescent="0.25">
      <c r="A11" t="s">
        <v>200</v>
      </c>
      <c r="B11" t="s">
        <v>201</v>
      </c>
      <c r="C11" t="s">
        <v>202</v>
      </c>
      <c r="D11" t="s">
        <v>203</v>
      </c>
    </row>
    <row r="12" spans="1:4" x14ac:dyDescent="0.25">
      <c r="A12" t="s">
        <v>204</v>
      </c>
      <c r="B12" t="s">
        <v>529</v>
      </c>
      <c r="C12" t="s">
        <v>530</v>
      </c>
      <c r="D12" t="s">
        <v>531</v>
      </c>
    </row>
    <row r="13" spans="1:4" x14ac:dyDescent="0.25">
      <c r="A13" t="s">
        <v>205</v>
      </c>
      <c r="B13" t="s">
        <v>206</v>
      </c>
      <c r="C13" t="s">
        <v>207</v>
      </c>
      <c r="D13" t="s">
        <v>208</v>
      </c>
    </row>
    <row r="14" spans="1:4" x14ac:dyDescent="0.25">
      <c r="A14" t="s">
        <v>209</v>
      </c>
      <c r="B14" t="s">
        <v>210</v>
      </c>
      <c r="C14" t="s">
        <v>211</v>
      </c>
      <c r="D14" t="s">
        <v>212</v>
      </c>
    </row>
    <row r="15" spans="1:4" x14ac:dyDescent="0.25">
      <c r="A15" t="s">
        <v>213</v>
      </c>
      <c r="B15" t="s">
        <v>214</v>
      </c>
      <c r="C15" t="s">
        <v>215</v>
      </c>
      <c r="D15" t="s">
        <v>216</v>
      </c>
    </row>
    <row r="16" spans="1:4" x14ac:dyDescent="0.25">
      <c r="A16" t="s">
        <v>217</v>
      </c>
      <c r="B16" t="s">
        <v>218</v>
      </c>
      <c r="C16" t="s">
        <v>219</v>
      </c>
      <c r="D16" t="s">
        <v>220</v>
      </c>
    </row>
    <row r="17" spans="1:4" x14ac:dyDescent="0.25">
      <c r="A17" t="s">
        <v>221</v>
      </c>
      <c r="B17" t="s">
        <v>222</v>
      </c>
      <c r="C17" t="s">
        <v>223</v>
      </c>
      <c r="D17" t="s">
        <v>224</v>
      </c>
    </row>
    <row r="18" spans="1:4" x14ac:dyDescent="0.25">
      <c r="A18" t="s">
        <v>225</v>
      </c>
      <c r="B18" t="s">
        <v>226</v>
      </c>
      <c r="C18" t="s">
        <v>227</v>
      </c>
      <c r="D18" t="s">
        <v>228</v>
      </c>
    </row>
    <row r="19" spans="1:4" x14ac:dyDescent="0.25">
      <c r="A19" t="s">
        <v>229</v>
      </c>
      <c r="B19" t="s">
        <v>230</v>
      </c>
      <c r="C19" t="s">
        <v>231</v>
      </c>
      <c r="D19" t="s">
        <v>232</v>
      </c>
    </row>
    <row r="20" spans="1:4" x14ac:dyDescent="0.25">
      <c r="A20" t="s">
        <v>233</v>
      </c>
      <c r="B20" t="s">
        <v>234</v>
      </c>
      <c r="C20" t="s">
        <v>235</v>
      </c>
      <c r="D20" t="s">
        <v>236</v>
      </c>
    </row>
    <row r="21" spans="1:4" x14ac:dyDescent="0.25">
      <c r="A21" t="s">
        <v>237</v>
      </c>
      <c r="B21" t="s">
        <v>238</v>
      </c>
      <c r="C21" t="s">
        <v>239</v>
      </c>
      <c r="D21" t="s">
        <v>240</v>
      </c>
    </row>
    <row r="22" spans="1:4" x14ac:dyDescent="0.25">
      <c r="A22" t="s">
        <v>241</v>
      </c>
      <c r="B22" t="s">
        <v>242</v>
      </c>
      <c r="C22" t="s">
        <v>243</v>
      </c>
      <c r="D22" t="s">
        <v>244</v>
      </c>
    </row>
    <row r="23" spans="1:4" x14ac:dyDescent="0.25">
      <c r="A23" t="s">
        <v>245</v>
      </c>
      <c r="B23" t="s">
        <v>246</v>
      </c>
      <c r="C23" t="s">
        <v>247</v>
      </c>
      <c r="D23" t="s">
        <v>248</v>
      </c>
    </row>
    <row r="24" spans="1:4" x14ac:dyDescent="0.25">
      <c r="A24" t="s">
        <v>249</v>
      </c>
      <c r="B24" t="s">
        <v>250</v>
      </c>
      <c r="C24" t="s">
        <v>251</v>
      </c>
      <c r="D24" t="s">
        <v>252</v>
      </c>
    </row>
    <row r="25" spans="1:4" x14ac:dyDescent="0.25">
      <c r="A25" t="s">
        <v>253</v>
      </c>
      <c r="B25" t="s">
        <v>254</v>
      </c>
      <c r="C25" t="s">
        <v>255</v>
      </c>
      <c r="D25" t="s">
        <v>256</v>
      </c>
    </row>
    <row r="26" spans="1:4" x14ac:dyDescent="0.25">
      <c r="A26" t="s">
        <v>257</v>
      </c>
      <c r="B26" t="s">
        <v>258</v>
      </c>
      <c r="C26" t="s">
        <v>259</v>
      </c>
      <c r="D26" t="s">
        <v>260</v>
      </c>
    </row>
    <row r="27" spans="1:4" x14ac:dyDescent="0.25">
      <c r="A27" t="s">
        <v>261</v>
      </c>
      <c r="B27" t="s">
        <v>262</v>
      </c>
      <c r="C27" t="s">
        <v>263</v>
      </c>
      <c r="D27" t="s">
        <v>264</v>
      </c>
    </row>
    <row r="28" spans="1:4" x14ac:dyDescent="0.25">
      <c r="A28" t="s">
        <v>265</v>
      </c>
      <c r="B28" t="s">
        <v>266</v>
      </c>
      <c r="C28" t="s">
        <v>267</v>
      </c>
      <c r="D28" t="s">
        <v>268</v>
      </c>
    </row>
    <row r="29" spans="1:4" x14ac:dyDescent="0.25">
      <c r="A29" t="s">
        <v>269</v>
      </c>
      <c r="B29" t="s">
        <v>270</v>
      </c>
      <c r="C29" t="s">
        <v>271</v>
      </c>
      <c r="D29" t="s">
        <v>272</v>
      </c>
    </row>
    <row r="30" spans="1:4" x14ac:dyDescent="0.25">
      <c r="A30" t="s">
        <v>273</v>
      </c>
      <c r="B30" t="s">
        <v>274</v>
      </c>
      <c r="C30" t="s">
        <v>275</v>
      </c>
      <c r="D30" t="s">
        <v>276</v>
      </c>
    </row>
    <row r="31" spans="1:4" x14ac:dyDescent="0.25">
      <c r="A31" t="s">
        <v>277</v>
      </c>
      <c r="B31" t="s">
        <v>278</v>
      </c>
      <c r="C31" t="s">
        <v>279</v>
      </c>
      <c r="D31" t="s">
        <v>280</v>
      </c>
    </row>
    <row r="32" spans="1:4" x14ac:dyDescent="0.25">
      <c r="A32" t="s">
        <v>281</v>
      </c>
      <c r="B32" t="s">
        <v>282</v>
      </c>
      <c r="C32" t="s">
        <v>283</v>
      </c>
      <c r="D32" t="s">
        <v>284</v>
      </c>
    </row>
    <row r="33" spans="1:4" x14ac:dyDescent="0.25">
      <c r="A33" t="s">
        <v>285</v>
      </c>
      <c r="B33" t="s">
        <v>286</v>
      </c>
      <c r="C33" t="s">
        <v>287</v>
      </c>
      <c r="D33" t="s">
        <v>288</v>
      </c>
    </row>
    <row r="34" spans="1:4" x14ac:dyDescent="0.25">
      <c r="A34" t="s">
        <v>289</v>
      </c>
      <c r="B34" t="s">
        <v>290</v>
      </c>
      <c r="C34" t="s">
        <v>291</v>
      </c>
      <c r="D34" t="s">
        <v>292</v>
      </c>
    </row>
    <row r="35" spans="1:4" x14ac:dyDescent="0.25">
      <c r="A35" t="s">
        <v>293</v>
      </c>
      <c r="B35" t="s">
        <v>294</v>
      </c>
      <c r="C35" t="s">
        <v>295</v>
      </c>
      <c r="D35" t="s">
        <v>296</v>
      </c>
    </row>
    <row r="36" spans="1:4" x14ac:dyDescent="0.25">
      <c r="A36" t="s">
        <v>297</v>
      </c>
      <c r="B36" t="s">
        <v>298</v>
      </c>
      <c r="C36" t="s">
        <v>299</v>
      </c>
      <c r="D36" t="s">
        <v>300</v>
      </c>
    </row>
    <row r="37" spans="1:4" x14ac:dyDescent="0.25">
      <c r="A37" t="s">
        <v>301</v>
      </c>
      <c r="B37" t="s">
        <v>302</v>
      </c>
      <c r="C37" t="s">
        <v>303</v>
      </c>
      <c r="D37" t="s">
        <v>304</v>
      </c>
    </row>
    <row r="38" spans="1:4" x14ac:dyDescent="0.25">
      <c r="A38" t="s">
        <v>305</v>
      </c>
      <c r="B38" t="s">
        <v>306</v>
      </c>
      <c r="C38" t="s">
        <v>307</v>
      </c>
      <c r="D38" t="s">
        <v>308</v>
      </c>
    </row>
    <row r="39" spans="1:4" x14ac:dyDescent="0.25">
      <c r="A39" t="s">
        <v>309</v>
      </c>
      <c r="B39" t="s">
        <v>310</v>
      </c>
      <c r="C39" t="s">
        <v>311</v>
      </c>
      <c r="D39" t="s">
        <v>312</v>
      </c>
    </row>
    <row r="40" spans="1:4" x14ac:dyDescent="0.25">
      <c r="A40" t="s">
        <v>313</v>
      </c>
      <c r="B40" t="s">
        <v>314</v>
      </c>
      <c r="C40" t="s">
        <v>315</v>
      </c>
      <c r="D40" t="s">
        <v>316</v>
      </c>
    </row>
    <row r="41" spans="1:4" x14ac:dyDescent="0.25">
      <c r="A41" t="s">
        <v>317</v>
      </c>
      <c r="B41" t="s">
        <v>318</v>
      </c>
      <c r="C41" t="s">
        <v>319</v>
      </c>
      <c r="D41" t="s">
        <v>320</v>
      </c>
    </row>
    <row r="42" spans="1:4" x14ac:dyDescent="0.25">
      <c r="A42" t="s">
        <v>321</v>
      </c>
      <c r="B42" t="s">
        <v>322</v>
      </c>
      <c r="C42" t="s">
        <v>323</v>
      </c>
      <c r="D42" t="s">
        <v>324</v>
      </c>
    </row>
    <row r="43" spans="1:4" x14ac:dyDescent="0.25">
      <c r="A43" t="s">
        <v>325</v>
      </c>
      <c r="B43" t="s">
        <v>326</v>
      </c>
      <c r="C43" t="s">
        <v>327</v>
      </c>
      <c r="D43" t="s">
        <v>328</v>
      </c>
    </row>
    <row r="44" spans="1:4" x14ac:dyDescent="0.25">
      <c r="A44" t="s">
        <v>329</v>
      </c>
      <c r="B44" t="s">
        <v>330</v>
      </c>
      <c r="C44" t="s">
        <v>331</v>
      </c>
      <c r="D44" t="s">
        <v>332</v>
      </c>
    </row>
    <row r="45" spans="1:4" x14ac:dyDescent="0.25">
      <c r="A45" t="s">
        <v>333</v>
      </c>
      <c r="B45" t="s">
        <v>334</v>
      </c>
      <c r="C45" t="s">
        <v>335</v>
      </c>
      <c r="D45" t="s">
        <v>336</v>
      </c>
    </row>
    <row r="46" spans="1:4" x14ac:dyDescent="0.25">
      <c r="A46" t="s">
        <v>337</v>
      </c>
      <c r="B46" t="s">
        <v>338</v>
      </c>
      <c r="C46" t="s">
        <v>339</v>
      </c>
      <c r="D46" t="s">
        <v>340</v>
      </c>
    </row>
    <row r="47" spans="1:4" x14ac:dyDescent="0.25">
      <c r="A47" t="s">
        <v>341</v>
      </c>
      <c r="B47" t="s">
        <v>342</v>
      </c>
      <c r="C47" t="s">
        <v>343</v>
      </c>
      <c r="D47" t="s">
        <v>344</v>
      </c>
    </row>
    <row r="48" spans="1:4" x14ac:dyDescent="0.25">
      <c r="A48" t="s">
        <v>345</v>
      </c>
      <c r="B48" t="s">
        <v>346</v>
      </c>
      <c r="C48" t="s">
        <v>347</v>
      </c>
      <c r="D48" t="s">
        <v>348</v>
      </c>
    </row>
    <row r="49" spans="1:4" x14ac:dyDescent="0.25">
      <c r="A49" t="s">
        <v>349</v>
      </c>
      <c r="B49" t="s">
        <v>350</v>
      </c>
      <c r="C49" t="s">
        <v>351</v>
      </c>
      <c r="D49" t="s">
        <v>352</v>
      </c>
    </row>
    <row r="50" spans="1:4" x14ac:dyDescent="0.25">
      <c r="A50" t="s">
        <v>353</v>
      </c>
      <c r="B50" t="s">
        <v>354</v>
      </c>
      <c r="C50" t="s">
        <v>355</v>
      </c>
      <c r="D50" t="s">
        <v>356</v>
      </c>
    </row>
    <row r="51" spans="1:4" x14ac:dyDescent="0.25">
      <c r="A51" t="s">
        <v>357</v>
      </c>
      <c r="B51" t="s">
        <v>358</v>
      </c>
      <c r="C51" t="s">
        <v>359</v>
      </c>
      <c r="D51" t="s">
        <v>360</v>
      </c>
    </row>
    <row r="52" spans="1:4" x14ac:dyDescent="0.25">
      <c r="A52" t="s">
        <v>361</v>
      </c>
      <c r="B52" t="s">
        <v>362</v>
      </c>
      <c r="C52" t="s">
        <v>363</v>
      </c>
      <c r="D52" t="s">
        <v>364</v>
      </c>
    </row>
    <row r="53" spans="1:4" x14ac:dyDescent="0.25">
      <c r="A53" t="s">
        <v>365</v>
      </c>
      <c r="B53" t="s">
        <v>366</v>
      </c>
      <c r="C53" t="s">
        <v>367</v>
      </c>
      <c r="D53" t="s">
        <v>368</v>
      </c>
    </row>
    <row r="54" spans="1:4" x14ac:dyDescent="0.25">
      <c r="A54" t="s">
        <v>369</v>
      </c>
      <c r="B54" t="s">
        <v>370</v>
      </c>
      <c r="C54" t="s">
        <v>371</v>
      </c>
      <c r="D54" t="s">
        <v>372</v>
      </c>
    </row>
    <row r="55" spans="1:4" x14ac:dyDescent="0.25">
      <c r="A55" t="s">
        <v>373</v>
      </c>
      <c r="B55" t="s">
        <v>374</v>
      </c>
      <c r="C55" t="s">
        <v>375</v>
      </c>
      <c r="D55" t="s">
        <v>376</v>
      </c>
    </row>
    <row r="56" spans="1:4" x14ac:dyDescent="0.25">
      <c r="A56" t="s">
        <v>377</v>
      </c>
      <c r="B56" t="s">
        <v>378</v>
      </c>
      <c r="C56" t="s">
        <v>379</v>
      </c>
      <c r="D56" t="s">
        <v>380</v>
      </c>
    </row>
    <row r="57" spans="1:4" x14ac:dyDescent="0.25">
      <c r="A57" t="s">
        <v>381</v>
      </c>
      <c r="B57" t="s">
        <v>382</v>
      </c>
      <c r="C57" t="s">
        <v>383</v>
      </c>
      <c r="D57" t="s">
        <v>384</v>
      </c>
    </row>
    <row r="58" spans="1:4" x14ac:dyDescent="0.25">
      <c r="A58" t="s">
        <v>385</v>
      </c>
      <c r="B58" t="s">
        <v>386</v>
      </c>
      <c r="C58" t="s">
        <v>387</v>
      </c>
      <c r="D58" t="s">
        <v>388</v>
      </c>
    </row>
    <row r="59" spans="1:4" x14ac:dyDescent="0.25">
      <c r="A59" t="s">
        <v>389</v>
      </c>
      <c r="B59" t="s">
        <v>390</v>
      </c>
      <c r="C59" t="s">
        <v>391</v>
      </c>
      <c r="D59" t="s">
        <v>392</v>
      </c>
    </row>
    <row r="60" spans="1:4" x14ac:dyDescent="0.25">
      <c r="A60" t="s">
        <v>393</v>
      </c>
      <c r="B60" t="s">
        <v>394</v>
      </c>
      <c r="C60" t="s">
        <v>395</v>
      </c>
      <c r="D60" t="s">
        <v>396</v>
      </c>
    </row>
    <row r="61" spans="1:4" x14ac:dyDescent="0.25">
      <c r="A61" t="s">
        <v>397</v>
      </c>
      <c r="B61" t="s">
        <v>398</v>
      </c>
      <c r="C61" t="s">
        <v>399</v>
      </c>
      <c r="D61" t="s">
        <v>400</v>
      </c>
    </row>
    <row r="62" spans="1:4" x14ac:dyDescent="0.25">
      <c r="A62" t="s">
        <v>401</v>
      </c>
      <c r="B62" t="s">
        <v>402</v>
      </c>
      <c r="C62" t="s">
        <v>403</v>
      </c>
      <c r="D62" t="s">
        <v>404</v>
      </c>
    </row>
    <row r="63" spans="1:4" x14ac:dyDescent="0.25">
      <c r="A63" t="s">
        <v>405</v>
      </c>
      <c r="B63" t="s">
        <v>406</v>
      </c>
      <c r="C63" t="s">
        <v>407</v>
      </c>
      <c r="D63" t="s">
        <v>408</v>
      </c>
    </row>
    <row r="64" spans="1:4" x14ac:dyDescent="0.25">
      <c r="A64" t="s">
        <v>409</v>
      </c>
      <c r="B64" t="s">
        <v>410</v>
      </c>
      <c r="C64" t="s">
        <v>411</v>
      </c>
      <c r="D64" t="s">
        <v>412</v>
      </c>
    </row>
    <row r="65" spans="1:4" x14ac:dyDescent="0.25">
      <c r="A65" t="s">
        <v>413</v>
      </c>
      <c r="B65" t="s">
        <v>3</v>
      </c>
      <c r="C65" t="s">
        <v>414</v>
      </c>
      <c r="D65" t="s">
        <v>415</v>
      </c>
    </row>
    <row r="66" spans="1:4" x14ac:dyDescent="0.25">
      <c r="A66" t="s">
        <v>416</v>
      </c>
      <c r="B66" t="s">
        <v>417</v>
      </c>
      <c r="C66" t="s">
        <v>418</v>
      </c>
      <c r="D66" t="s">
        <v>419</v>
      </c>
    </row>
    <row r="67" spans="1:4" x14ac:dyDescent="0.25">
      <c r="A67" t="s">
        <v>420</v>
      </c>
      <c r="B67" t="s">
        <v>6</v>
      </c>
      <c r="C67" t="s">
        <v>421</v>
      </c>
      <c r="D67" t="s">
        <v>422</v>
      </c>
    </row>
    <row r="68" spans="1:4" x14ac:dyDescent="0.25">
      <c r="A68" t="s">
        <v>423</v>
      </c>
      <c r="B68" t="s">
        <v>424</v>
      </c>
      <c r="C68" t="s">
        <v>425</v>
      </c>
      <c r="D68" t="s">
        <v>426</v>
      </c>
    </row>
    <row r="69" spans="1:4" x14ac:dyDescent="0.25">
      <c r="A69" t="s">
        <v>427</v>
      </c>
      <c r="B69" t="s">
        <v>4</v>
      </c>
      <c r="C69" t="s">
        <v>428</v>
      </c>
      <c r="D69" t="s">
        <v>429</v>
      </c>
    </row>
    <row r="70" spans="1:4" x14ac:dyDescent="0.25">
      <c r="A70" t="s">
        <v>430</v>
      </c>
      <c r="B70" t="s">
        <v>431</v>
      </c>
      <c r="C70" t="s">
        <v>432</v>
      </c>
      <c r="D70" t="s">
        <v>433</v>
      </c>
    </row>
    <row r="71" spans="1:4" x14ac:dyDescent="0.25">
      <c r="A71" t="s">
        <v>434</v>
      </c>
      <c r="B71" t="s">
        <v>7</v>
      </c>
      <c r="C71" t="s">
        <v>435</v>
      </c>
      <c r="D71" t="s">
        <v>436</v>
      </c>
    </row>
    <row r="72" spans="1:4" x14ac:dyDescent="0.25">
      <c r="A72" t="s">
        <v>437</v>
      </c>
      <c r="B72" t="s">
        <v>438</v>
      </c>
      <c r="C72" t="s">
        <v>439</v>
      </c>
      <c r="D72" t="s">
        <v>440</v>
      </c>
    </row>
    <row r="73" spans="1:4" x14ac:dyDescent="0.25">
      <c r="A73" t="s">
        <v>441</v>
      </c>
      <c r="B73" t="s">
        <v>8</v>
      </c>
      <c r="C73" t="s">
        <v>442</v>
      </c>
      <c r="D73" t="s">
        <v>443</v>
      </c>
    </row>
    <row r="74" spans="1:4" x14ac:dyDescent="0.25">
      <c r="A74" t="s">
        <v>444</v>
      </c>
      <c r="B74" t="s">
        <v>445</v>
      </c>
      <c r="C74" t="s">
        <v>446</v>
      </c>
      <c r="D74" t="s">
        <v>447</v>
      </c>
    </row>
    <row r="75" spans="1:4" x14ac:dyDescent="0.25">
      <c r="A75" t="s">
        <v>448</v>
      </c>
      <c r="B75" t="s">
        <v>5</v>
      </c>
      <c r="C75" t="s">
        <v>449</v>
      </c>
      <c r="D75" t="s">
        <v>450</v>
      </c>
    </row>
    <row r="76" spans="1:4" x14ac:dyDescent="0.25">
      <c r="A76" t="s">
        <v>451</v>
      </c>
      <c r="B76" t="s">
        <v>452</v>
      </c>
      <c r="C76" t="s">
        <v>453</v>
      </c>
      <c r="D76" t="s">
        <v>454</v>
      </c>
    </row>
    <row r="77" spans="1:4" x14ac:dyDescent="0.25">
      <c r="A77" t="s">
        <v>455</v>
      </c>
      <c r="B77" t="s">
        <v>18</v>
      </c>
      <c r="C77" t="s">
        <v>456</v>
      </c>
      <c r="D77" t="s">
        <v>457</v>
      </c>
    </row>
    <row r="78" spans="1:4" x14ac:dyDescent="0.25">
      <c r="A78" t="s">
        <v>458</v>
      </c>
      <c r="B78" t="s">
        <v>459</v>
      </c>
      <c r="C78" t="s">
        <v>460</v>
      </c>
      <c r="D78" t="s">
        <v>461</v>
      </c>
    </row>
    <row r="79" spans="1:4" x14ac:dyDescent="0.25">
      <c r="A79" t="s">
        <v>462</v>
      </c>
      <c r="B79" t="s">
        <v>22</v>
      </c>
      <c r="C79" t="s">
        <v>463</v>
      </c>
      <c r="D79" t="s">
        <v>464</v>
      </c>
    </row>
    <row r="80" spans="1:4" x14ac:dyDescent="0.25">
      <c r="A80" t="s">
        <v>465</v>
      </c>
      <c r="B80" t="s">
        <v>466</v>
      </c>
      <c r="C80" t="s">
        <v>467</v>
      </c>
      <c r="D80" t="s">
        <v>468</v>
      </c>
    </row>
    <row r="81" spans="1:4" x14ac:dyDescent="0.25">
      <c r="A81" t="s">
        <v>469</v>
      </c>
      <c r="B81" t="s">
        <v>470</v>
      </c>
      <c r="C81" t="s">
        <v>471</v>
      </c>
      <c r="D81" t="s">
        <v>472</v>
      </c>
    </row>
    <row r="82" spans="1:4" x14ac:dyDescent="0.25">
      <c r="A82" t="s">
        <v>473</v>
      </c>
      <c r="B82" t="s">
        <v>474</v>
      </c>
      <c r="C82" t="s">
        <v>475</v>
      </c>
      <c r="D82" t="s">
        <v>476</v>
      </c>
    </row>
    <row r="83" spans="1:4" x14ac:dyDescent="0.25">
      <c r="A83" t="s">
        <v>477</v>
      </c>
      <c r="B83" t="s">
        <v>478</v>
      </c>
      <c r="C83" t="s">
        <v>479</v>
      </c>
      <c r="D83" t="s">
        <v>480</v>
      </c>
    </row>
    <row r="84" spans="1:4" x14ac:dyDescent="0.25">
      <c r="A84" t="s">
        <v>481</v>
      </c>
      <c r="B84" t="s">
        <v>482</v>
      </c>
      <c r="C84" t="s">
        <v>483</v>
      </c>
      <c r="D84" t="s">
        <v>484</v>
      </c>
    </row>
    <row r="85" spans="1:4" x14ac:dyDescent="0.25">
      <c r="A85" t="s">
        <v>485</v>
      </c>
      <c r="B85" t="s">
        <v>486</v>
      </c>
      <c r="C85" t="s">
        <v>487</v>
      </c>
      <c r="D85" t="s">
        <v>488</v>
      </c>
    </row>
    <row r="86" spans="1:4" x14ac:dyDescent="0.25">
      <c r="A86" t="s">
        <v>489</v>
      </c>
      <c r="B86" t="s">
        <v>490</v>
      </c>
      <c r="C86" t="s">
        <v>491</v>
      </c>
      <c r="D86" t="s">
        <v>492</v>
      </c>
    </row>
    <row r="87" spans="1:4" x14ac:dyDescent="0.25">
      <c r="A87" t="s">
        <v>493</v>
      </c>
      <c r="B87" t="s">
        <v>494</v>
      </c>
      <c r="C87" t="s">
        <v>495</v>
      </c>
      <c r="D87" t="s">
        <v>496</v>
      </c>
    </row>
    <row r="88" spans="1:4" x14ac:dyDescent="0.25">
      <c r="A88" t="s">
        <v>497</v>
      </c>
      <c r="B88" t="s">
        <v>498</v>
      </c>
      <c r="C88" t="s">
        <v>499</v>
      </c>
      <c r="D88" t="s">
        <v>500</v>
      </c>
    </row>
    <row r="89" spans="1:4" x14ac:dyDescent="0.25">
      <c r="A89" t="s">
        <v>501</v>
      </c>
      <c r="B89" t="s">
        <v>502</v>
      </c>
      <c r="C89" t="s">
        <v>503</v>
      </c>
      <c r="D89" t="s">
        <v>504</v>
      </c>
    </row>
    <row r="90" spans="1:4" x14ac:dyDescent="0.25">
      <c r="A90" t="s">
        <v>505</v>
      </c>
      <c r="B90" t="s">
        <v>506</v>
      </c>
      <c r="C90" t="s">
        <v>507</v>
      </c>
      <c r="D90" t="s">
        <v>508</v>
      </c>
    </row>
    <row r="91" spans="1:4" x14ac:dyDescent="0.25">
      <c r="A91" t="s">
        <v>509</v>
      </c>
      <c r="B91" t="s">
        <v>510</v>
      </c>
      <c r="C91" t="s">
        <v>511</v>
      </c>
      <c r="D91" t="s">
        <v>512</v>
      </c>
    </row>
    <row r="92" spans="1:4" x14ac:dyDescent="0.25">
      <c r="A92" t="s">
        <v>513</v>
      </c>
      <c r="B92" t="s">
        <v>514</v>
      </c>
      <c r="C92" t="s">
        <v>515</v>
      </c>
      <c r="D92" t="s">
        <v>516</v>
      </c>
    </row>
    <row r="93" spans="1:4" x14ac:dyDescent="0.25">
      <c r="A93" t="s">
        <v>517</v>
      </c>
      <c r="B93" t="s">
        <v>518</v>
      </c>
      <c r="C93" t="s">
        <v>519</v>
      </c>
      <c r="D93" t="s">
        <v>520</v>
      </c>
    </row>
    <row r="94" spans="1:4" x14ac:dyDescent="0.25">
      <c r="A94" t="s">
        <v>521</v>
      </c>
      <c r="B94" t="s">
        <v>522</v>
      </c>
      <c r="C94" t="s">
        <v>523</v>
      </c>
      <c r="D94" t="s">
        <v>524</v>
      </c>
    </row>
    <row r="95" spans="1:4" x14ac:dyDescent="0.25">
      <c r="A95" t="s">
        <v>525</v>
      </c>
      <c r="B95" t="s">
        <v>526</v>
      </c>
      <c r="C95" t="s">
        <v>527</v>
      </c>
      <c r="D95"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Sintesi</vt:lpstr>
      <vt:lpstr>Input</vt:lpstr>
      <vt:lpstr>Grafici</vt:lpstr>
      <vt:lpstr>Guida</vt:lpstr>
      <vt:lpstr>Calcoli</vt:lpstr>
      <vt:lpstr>DatiGrafici</vt:lpstr>
      <vt:lpstr>Lingue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Francesco Ulian</cp:lastModifiedBy>
  <dcterms:modified xsi:type="dcterms:W3CDTF">2026-04-16T11:57:43Z</dcterms:modified>
</cp:coreProperties>
</file>